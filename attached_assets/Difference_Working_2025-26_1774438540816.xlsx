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515" activeTab="9"/>
  </bookViews>
  <sheets>
    <sheet name="Onion April" sheetId="1" r:id="rId1"/>
    <sheet name="Onion May" sheetId="2" r:id="rId2"/>
    <sheet name="Onion June" sheetId="3" r:id="rId3"/>
    <sheet name="Onion July " sheetId="4" r:id="rId4"/>
    <sheet name="Corn Oct" sheetId="5" r:id="rId5"/>
    <sheet name="Sheet1" sheetId="6" r:id="rId6"/>
    <sheet name="Corn Oct Amt" sheetId="7" r:id="rId7"/>
    <sheet name="Corn Nov" sheetId="8" r:id="rId8"/>
    <sheet name="Corn Dec Amt" sheetId="9" r:id="rId9"/>
    <sheet name="Sheet2" sheetId="10" r:id="rId10"/>
  </sheets>
  <calcPr calcId="152511"/>
</workbook>
</file>

<file path=xl/calcChain.xml><?xml version="1.0" encoding="utf-8"?>
<calcChain xmlns="http://schemas.openxmlformats.org/spreadsheetml/2006/main">
  <c r="AE34" i="10" l="1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F6" i="10"/>
  <c r="AC6" i="10"/>
  <c r="AF3" i="10"/>
  <c r="AC3" i="10"/>
  <c r="AC4" i="10"/>
  <c r="AF4" i="10" s="1"/>
  <c r="AC2" i="10" l="1"/>
  <c r="AF2" i="10" s="1"/>
  <c r="AC5" i="10" l="1"/>
  <c r="AF5" i="10" s="1"/>
  <c r="AC33" i="10"/>
  <c r="AF33" i="10" s="1"/>
  <c r="AC32" i="10"/>
  <c r="AF32" i="10" s="1"/>
  <c r="AC31" i="10"/>
  <c r="AF31" i="10" s="1"/>
  <c r="AC30" i="10"/>
  <c r="AF30" i="10" s="1"/>
  <c r="AC29" i="10"/>
  <c r="AF29" i="10" s="1"/>
  <c r="AC28" i="10"/>
  <c r="AF28" i="10" s="1"/>
  <c r="AC27" i="10"/>
  <c r="AF27" i="10" s="1"/>
  <c r="AC26" i="10"/>
  <c r="AF26" i="10" s="1"/>
  <c r="AC25" i="10"/>
  <c r="AF25" i="10" s="1"/>
  <c r="AC24" i="10"/>
  <c r="AF24" i="10" s="1"/>
  <c r="AC23" i="10"/>
  <c r="AF23" i="10" s="1"/>
  <c r="AC22" i="10"/>
  <c r="AF22" i="10" s="1"/>
  <c r="AC21" i="10"/>
  <c r="AF21" i="10" s="1"/>
  <c r="AC20" i="10"/>
  <c r="AF20" i="10" s="1"/>
  <c r="AC19" i="10"/>
  <c r="AF19" i="10" s="1"/>
  <c r="AC18" i="10"/>
  <c r="AF18" i="10" s="1"/>
  <c r="AC17" i="10"/>
  <c r="AF17" i="10" s="1"/>
  <c r="AC16" i="10"/>
  <c r="AF16" i="10" s="1"/>
  <c r="AC15" i="10"/>
  <c r="AF15" i="10" s="1"/>
  <c r="AC14" i="10"/>
  <c r="AF14" i="10" s="1"/>
  <c r="AC13" i="10"/>
  <c r="AF13" i="10" s="1"/>
  <c r="AC12" i="10"/>
  <c r="AF12" i="10" s="1"/>
  <c r="AC11" i="10"/>
  <c r="AF11" i="10" s="1"/>
  <c r="AC10" i="10"/>
  <c r="AF10" i="10" s="1"/>
  <c r="AC9" i="10"/>
  <c r="AF9" i="10" s="1"/>
  <c r="AC8" i="10"/>
  <c r="AF8" i="10" s="1"/>
  <c r="AC7" i="10"/>
  <c r="AF7" i="10" s="1"/>
  <c r="AF34" i="10" l="1"/>
  <c r="AH34" i="10" s="1"/>
  <c r="AF10" i="9"/>
  <c r="AF3" i="9"/>
  <c r="AF2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H34" i="9"/>
  <c r="G34" i="9"/>
  <c r="F34" i="9"/>
  <c r="E34" i="9"/>
  <c r="D34" i="9"/>
  <c r="C34" i="9"/>
  <c r="B34" i="9"/>
  <c r="I34" i="9"/>
  <c r="AI32" i="9"/>
  <c r="AI29" i="9"/>
  <c r="AI27" i="9"/>
  <c r="AI16" i="9"/>
  <c r="AF33" i="9"/>
  <c r="AI33" i="9" s="1"/>
  <c r="AF32" i="9"/>
  <c r="AF31" i="9"/>
  <c r="AI31" i="9" s="1"/>
  <c r="AF30" i="9"/>
  <c r="AI30" i="9" s="1"/>
  <c r="AF29" i="9"/>
  <c r="AF28" i="9"/>
  <c r="AI28" i="9" s="1"/>
  <c r="AF27" i="9"/>
  <c r="AF26" i="9"/>
  <c r="AI26" i="9" s="1"/>
  <c r="AF25" i="9"/>
  <c r="AI25" i="9" s="1"/>
  <c r="AF24" i="9"/>
  <c r="AI24" i="9" s="1"/>
  <c r="AF23" i="9"/>
  <c r="AI23" i="9" s="1"/>
  <c r="AF22" i="9"/>
  <c r="AI22" i="9" s="1"/>
  <c r="AF21" i="9"/>
  <c r="AI21" i="9" s="1"/>
  <c r="AF20" i="9"/>
  <c r="AI20" i="9" s="1"/>
  <c r="AF19" i="9"/>
  <c r="AI19" i="9" s="1"/>
  <c r="AF18" i="9"/>
  <c r="AI18" i="9" s="1"/>
  <c r="AF17" i="9"/>
  <c r="AI17" i="9" s="1"/>
  <c r="AF16" i="9"/>
  <c r="AF15" i="9"/>
  <c r="AI15" i="9" s="1"/>
  <c r="AF14" i="9"/>
  <c r="AI14" i="9" s="1"/>
  <c r="AF13" i="9"/>
  <c r="AI13" i="9" s="1"/>
  <c r="AF12" i="9"/>
  <c r="AI12" i="9" s="1"/>
  <c r="AF11" i="9"/>
  <c r="AI11" i="9" s="1"/>
  <c r="AI10" i="9"/>
  <c r="AF9" i="9"/>
  <c r="AI9" i="9" s="1"/>
  <c r="AF8" i="9"/>
  <c r="AI8" i="9" s="1"/>
  <c r="AF7" i="9"/>
  <c r="AI7" i="9" s="1"/>
  <c r="AF6" i="9"/>
  <c r="AI6" i="9" s="1"/>
  <c r="AF5" i="9"/>
  <c r="AI5" i="9" s="1"/>
  <c r="AF4" i="9"/>
  <c r="AI4" i="9" s="1"/>
  <c r="AF34" i="9" l="1"/>
  <c r="AI34" i="9" s="1"/>
  <c r="AF17" i="8"/>
  <c r="AG17" i="8"/>
  <c r="AI17" i="8" s="1"/>
  <c r="AG18" i="8"/>
  <c r="AI18" i="8"/>
  <c r="AG21" i="8"/>
  <c r="AD21" i="8"/>
  <c r="U29" i="8"/>
  <c r="V29" i="8"/>
  <c r="AD28" i="8"/>
  <c r="AG28" i="8" s="1"/>
  <c r="AD27" i="8"/>
  <c r="AG27" i="8" s="1"/>
  <c r="AD26" i="8"/>
  <c r="AG26" i="8" s="1"/>
  <c r="AD25" i="8"/>
  <c r="AG25" i="8" s="1"/>
  <c r="AD24" i="8"/>
  <c r="AG24" i="8" s="1"/>
  <c r="AD23" i="8"/>
  <c r="AG23" i="8" s="1"/>
  <c r="AD22" i="8"/>
  <c r="AG22" i="8" s="1"/>
  <c r="AD20" i="8"/>
  <c r="AG20" i="8" s="1"/>
  <c r="AD19" i="8"/>
  <c r="AG19" i="8" s="1"/>
  <c r="AD18" i="8"/>
  <c r="AD17" i="8"/>
  <c r="AD16" i="8"/>
  <c r="AG16" i="8" s="1"/>
  <c r="AD15" i="8"/>
  <c r="AG15" i="8" s="1"/>
  <c r="AD14" i="8"/>
  <c r="AG14" i="8" s="1"/>
  <c r="AD13" i="8"/>
  <c r="AG13" i="8" s="1"/>
  <c r="AD12" i="8"/>
  <c r="AG12" i="8" s="1"/>
  <c r="AD11" i="8"/>
  <c r="AG11" i="8" s="1"/>
  <c r="AD10" i="8"/>
  <c r="AG10" i="8" s="1"/>
  <c r="AD9" i="8"/>
  <c r="AG9" i="8" s="1"/>
  <c r="AD8" i="8"/>
  <c r="AG8" i="8" s="1"/>
  <c r="AD7" i="8"/>
  <c r="AG7" i="8" s="1"/>
  <c r="AD6" i="8"/>
  <c r="AG6" i="8" s="1"/>
  <c r="AD5" i="8"/>
  <c r="AG5" i="8" s="1"/>
  <c r="AD4" i="8"/>
  <c r="AG4" i="8" s="1"/>
  <c r="AD3" i="8"/>
  <c r="AG3" i="8" s="1"/>
  <c r="AD2" i="8"/>
  <c r="AG2" i="8" s="1"/>
  <c r="AC29" i="8"/>
  <c r="AB29" i="8"/>
  <c r="AA29" i="8"/>
  <c r="Z29" i="8"/>
  <c r="Y29" i="8"/>
  <c r="X29" i="8"/>
  <c r="W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D29" i="8" l="1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L31" i="7"/>
  <c r="K31" i="7"/>
  <c r="J31" i="7"/>
  <c r="I31" i="7"/>
  <c r="H31" i="7"/>
  <c r="G31" i="7"/>
  <c r="F31" i="7"/>
  <c r="E31" i="7"/>
  <c r="D31" i="7"/>
  <c r="C31" i="7"/>
  <c r="AE30" i="7"/>
  <c r="AH30" i="7" s="1"/>
  <c r="AE29" i="7"/>
  <c r="AH29" i="7" s="1"/>
  <c r="AE28" i="7"/>
  <c r="AH28" i="7" s="1"/>
  <c r="AE27" i="7"/>
  <c r="AH27" i="7" s="1"/>
  <c r="AE26" i="7"/>
  <c r="AH26" i="7" s="1"/>
  <c r="AE25" i="7"/>
  <c r="AH25" i="7" s="1"/>
  <c r="AE24" i="7"/>
  <c r="AH24" i="7" s="1"/>
  <c r="AE23" i="7"/>
  <c r="AH23" i="7" s="1"/>
  <c r="AE22" i="7"/>
  <c r="AH22" i="7" s="1"/>
  <c r="AE21" i="7"/>
  <c r="AH21" i="7" s="1"/>
  <c r="AE20" i="7"/>
  <c r="AH20" i="7" s="1"/>
  <c r="AE19" i="7"/>
  <c r="AH19" i="7" s="1"/>
  <c r="AE18" i="7"/>
  <c r="AH18" i="7" s="1"/>
  <c r="AE17" i="7"/>
  <c r="AH17" i="7" s="1"/>
  <c r="AE16" i="7"/>
  <c r="AH16" i="7" s="1"/>
  <c r="AE15" i="7"/>
  <c r="AH15" i="7" s="1"/>
  <c r="AE14" i="7"/>
  <c r="AH14" i="7" s="1"/>
  <c r="AE13" i="7"/>
  <c r="AH13" i="7" s="1"/>
  <c r="AE12" i="7"/>
  <c r="AH12" i="7" s="1"/>
  <c r="AE11" i="7"/>
  <c r="AH11" i="7" s="1"/>
  <c r="AE10" i="7"/>
  <c r="AH10" i="7" s="1"/>
  <c r="AE9" i="7"/>
  <c r="AH9" i="7" s="1"/>
  <c r="AE8" i="7"/>
  <c r="AH8" i="7" s="1"/>
  <c r="AE7" i="7"/>
  <c r="AH7" i="7" s="1"/>
  <c r="AE6" i="7"/>
  <c r="AH6" i="7" s="1"/>
  <c r="AE5" i="7"/>
  <c r="AH5" i="7" s="1"/>
  <c r="AE4" i="7"/>
  <c r="AH4" i="7" s="1"/>
  <c r="AE3" i="7"/>
  <c r="AH3" i="7" s="1"/>
  <c r="B2" i="7"/>
  <c r="AE2" i="7" s="1"/>
  <c r="AH2" i="7" s="1"/>
  <c r="G14" i="6"/>
  <c r="G15" i="6" s="1"/>
  <c r="F15" i="6"/>
  <c r="F14" i="6"/>
  <c r="P13" i="5"/>
  <c r="AH13" i="5" s="1"/>
  <c r="AK13" i="5" s="1"/>
  <c r="P12" i="5"/>
  <c r="AH12" i="5" s="1"/>
  <c r="AK26" i="5"/>
  <c r="AK25" i="5"/>
  <c r="AK18" i="5"/>
  <c r="AK17" i="5"/>
  <c r="AK7" i="5"/>
  <c r="AK6" i="5"/>
  <c r="AK5" i="5"/>
  <c r="C31" i="5"/>
  <c r="B2" i="5"/>
  <c r="B31" i="5" s="1"/>
  <c r="E31" i="5"/>
  <c r="G31" i="5"/>
  <c r="AH30" i="5"/>
  <c r="AK30" i="5" s="1"/>
  <c r="AH29" i="5"/>
  <c r="AK29" i="5" s="1"/>
  <c r="AH28" i="5"/>
  <c r="AK28" i="5" s="1"/>
  <c r="AH27" i="5"/>
  <c r="AK27" i="5" s="1"/>
  <c r="AH26" i="5"/>
  <c r="AH25" i="5"/>
  <c r="AH24" i="5"/>
  <c r="AK24" i="5" s="1"/>
  <c r="AH23" i="5"/>
  <c r="AK23" i="5" s="1"/>
  <c r="AH22" i="5"/>
  <c r="AK22" i="5" s="1"/>
  <c r="AH21" i="5"/>
  <c r="AK21" i="5" s="1"/>
  <c r="AH20" i="5"/>
  <c r="AK20" i="5" s="1"/>
  <c r="AH19" i="5"/>
  <c r="AK19" i="5" s="1"/>
  <c r="AH18" i="5"/>
  <c r="AH17" i="5"/>
  <c r="AH16" i="5"/>
  <c r="AK16" i="5" s="1"/>
  <c r="AH15" i="5"/>
  <c r="AK15" i="5" s="1"/>
  <c r="AH14" i="5"/>
  <c r="AK14" i="5" s="1"/>
  <c r="AH11" i="5"/>
  <c r="AK11" i="5" s="1"/>
  <c r="AH10" i="5"/>
  <c r="AK10" i="5" s="1"/>
  <c r="AH9" i="5"/>
  <c r="AK9" i="5" s="1"/>
  <c r="AH8" i="5"/>
  <c r="AK8" i="5" s="1"/>
  <c r="AH7" i="5"/>
  <c r="AH6" i="5"/>
  <c r="AH5" i="5"/>
  <c r="AH4" i="5"/>
  <c r="AK4" i="5" s="1"/>
  <c r="AH3" i="5"/>
  <c r="AK3" i="5" s="1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O31" i="5"/>
  <c r="N31" i="5"/>
  <c r="M31" i="5"/>
  <c r="L31" i="5"/>
  <c r="K31" i="5"/>
  <c r="J31" i="5"/>
  <c r="I31" i="5"/>
  <c r="H31" i="5"/>
  <c r="F31" i="5"/>
  <c r="D31" i="5"/>
  <c r="F36" i="3"/>
  <c r="Z33" i="2"/>
  <c r="Y23" i="1"/>
  <c r="AG33" i="2"/>
  <c r="AF33" i="2"/>
  <c r="AE33" i="2"/>
  <c r="AD33" i="2"/>
  <c r="AC33" i="2"/>
  <c r="AB33" i="2"/>
  <c r="AA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H32" i="2"/>
  <c r="Q5" i="4"/>
  <c r="T5" i="4" s="1"/>
  <c r="Q4" i="4"/>
  <c r="T4" i="4" s="1"/>
  <c r="Q3" i="4"/>
  <c r="Q2" i="4"/>
  <c r="T2" i="4" s="1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E36" i="3"/>
  <c r="D36" i="3"/>
  <c r="C36" i="3"/>
  <c r="B36" i="3"/>
  <c r="AA35" i="3"/>
  <c r="AD35" i="3" s="1"/>
  <c r="AA34" i="3"/>
  <c r="AD34" i="3" s="1"/>
  <c r="AA33" i="3"/>
  <c r="AD33" i="3" s="1"/>
  <c r="AA32" i="3"/>
  <c r="AD32" i="3" s="1"/>
  <c r="AA31" i="3"/>
  <c r="AD31" i="3" s="1"/>
  <c r="AA30" i="3"/>
  <c r="AD30" i="3" s="1"/>
  <c r="AA29" i="3"/>
  <c r="AD29" i="3" s="1"/>
  <c r="AA28" i="3"/>
  <c r="AD28" i="3" s="1"/>
  <c r="AA27" i="3"/>
  <c r="AD27" i="3" s="1"/>
  <c r="AA26" i="3"/>
  <c r="AD26" i="3" s="1"/>
  <c r="AA25" i="3"/>
  <c r="AD25" i="3" s="1"/>
  <c r="AA24" i="3"/>
  <c r="AD24" i="3" s="1"/>
  <c r="AA23" i="3"/>
  <c r="AD23" i="3" s="1"/>
  <c r="AA22" i="3"/>
  <c r="AD22" i="3" s="1"/>
  <c r="AA21" i="3"/>
  <c r="AD21" i="3" s="1"/>
  <c r="AA20" i="3"/>
  <c r="AD20" i="3" s="1"/>
  <c r="AA19" i="3"/>
  <c r="AD19" i="3" s="1"/>
  <c r="AA18" i="3"/>
  <c r="AD18" i="3" s="1"/>
  <c r="AA17" i="3"/>
  <c r="AD17" i="3" s="1"/>
  <c r="AA16" i="3"/>
  <c r="AD16" i="3" s="1"/>
  <c r="AA15" i="3"/>
  <c r="AD15" i="3" s="1"/>
  <c r="AA14" i="3"/>
  <c r="AD14" i="3" s="1"/>
  <c r="R6" i="4" s="1"/>
  <c r="AA13" i="3"/>
  <c r="AD13" i="3" s="1"/>
  <c r="AA12" i="3"/>
  <c r="AD12" i="3" s="1"/>
  <c r="AA11" i="3"/>
  <c r="AD11" i="3" s="1"/>
  <c r="AA10" i="3"/>
  <c r="AD10" i="3" s="1"/>
  <c r="AA9" i="3"/>
  <c r="AD9" i="3" s="1"/>
  <c r="AA8" i="3"/>
  <c r="AD8" i="3" s="1"/>
  <c r="AA7" i="3"/>
  <c r="AD7" i="3" s="1"/>
  <c r="AA6" i="3"/>
  <c r="AD6" i="3" s="1"/>
  <c r="AA5" i="3"/>
  <c r="AD5" i="3" s="1"/>
  <c r="AA4" i="3"/>
  <c r="AD4" i="3" s="1"/>
  <c r="AA3" i="3"/>
  <c r="AA2" i="3"/>
  <c r="AD2" i="3" s="1"/>
  <c r="Q22" i="4"/>
  <c r="T22" i="4" s="1"/>
  <c r="Q21" i="4"/>
  <c r="T21" i="4" s="1"/>
  <c r="Q20" i="4"/>
  <c r="T20" i="4" s="1"/>
  <c r="Q19" i="4"/>
  <c r="T19" i="4" s="1"/>
  <c r="Q18" i="4"/>
  <c r="T18" i="4" s="1"/>
  <c r="Q17" i="4"/>
  <c r="T17" i="4" s="1"/>
  <c r="Q16" i="4"/>
  <c r="T16" i="4" s="1"/>
  <c r="Q15" i="4"/>
  <c r="T15" i="4" s="1"/>
  <c r="Q14" i="4"/>
  <c r="T14" i="4" s="1"/>
  <c r="Q13" i="4"/>
  <c r="T13" i="4" s="1"/>
  <c r="Q12" i="4"/>
  <c r="T12" i="4" s="1"/>
  <c r="Q11" i="4"/>
  <c r="T11" i="4" s="1"/>
  <c r="Q10" i="4"/>
  <c r="T10" i="4" s="1"/>
  <c r="Q9" i="4"/>
  <c r="T9" i="4" s="1"/>
  <c r="Q8" i="4"/>
  <c r="T8" i="4" s="1"/>
  <c r="Q7" i="4"/>
  <c r="T7" i="4" s="1"/>
  <c r="Q6" i="4"/>
  <c r="M23" i="1"/>
  <c r="AH3" i="2"/>
  <c r="AK3" i="2" s="1"/>
  <c r="AK32" i="2"/>
  <c r="AH31" i="2"/>
  <c r="AK31" i="2" s="1"/>
  <c r="AH30" i="2"/>
  <c r="AK30" i="2" s="1"/>
  <c r="AH29" i="2"/>
  <c r="AK29" i="2" s="1"/>
  <c r="AH28" i="2"/>
  <c r="AK28" i="2" s="1"/>
  <c r="AH27" i="2"/>
  <c r="AK27" i="2" s="1"/>
  <c r="AH26" i="2"/>
  <c r="AK26" i="2" s="1"/>
  <c r="AH25" i="2"/>
  <c r="AH24" i="2"/>
  <c r="AK24" i="2" s="1"/>
  <c r="AH23" i="2"/>
  <c r="AK23" i="2" s="1"/>
  <c r="AH22" i="2"/>
  <c r="AK22" i="2" s="1"/>
  <c r="AH21" i="2"/>
  <c r="AK21" i="2" s="1"/>
  <c r="T3" i="4" s="1"/>
  <c r="AH20" i="2"/>
  <c r="AK20" i="2" s="1"/>
  <c r="AH19" i="2"/>
  <c r="AK19" i="2" s="1"/>
  <c r="AH18" i="2"/>
  <c r="AK18" i="2" s="1"/>
  <c r="AH17" i="2"/>
  <c r="AK17" i="2" s="1"/>
  <c r="AH16" i="2"/>
  <c r="AK16" i="2" s="1"/>
  <c r="AH15" i="2"/>
  <c r="AK15" i="2" s="1"/>
  <c r="AH14" i="2"/>
  <c r="AK14" i="2" s="1"/>
  <c r="AB3" i="3" s="1"/>
  <c r="AH13" i="2"/>
  <c r="AK13" i="2" s="1"/>
  <c r="AH12" i="2"/>
  <c r="AK12" i="2" s="1"/>
  <c r="AH11" i="2"/>
  <c r="AK11" i="2" s="1"/>
  <c r="AH10" i="2"/>
  <c r="AK10" i="2" s="1"/>
  <c r="AH9" i="2"/>
  <c r="AK9" i="2" s="1"/>
  <c r="AH8" i="2"/>
  <c r="AK8" i="2" s="1"/>
  <c r="AH7" i="2"/>
  <c r="AK7" i="2" s="1"/>
  <c r="AH6" i="2"/>
  <c r="AI6" i="2" s="1"/>
  <c r="AK6" i="2" s="1"/>
  <c r="AH5" i="2"/>
  <c r="AI5" i="2" s="1"/>
  <c r="AK5" i="2" s="1"/>
  <c r="AH4" i="2"/>
  <c r="AI4" i="2" s="1"/>
  <c r="AK4" i="2" s="1"/>
  <c r="AH2" i="2"/>
  <c r="AI2" i="2" s="1"/>
  <c r="AK2" i="2" s="1"/>
  <c r="AH21" i="1"/>
  <c r="AH20" i="1"/>
  <c r="AH17" i="1"/>
  <c r="AH13" i="1"/>
  <c r="AH10" i="1"/>
  <c r="AH5" i="1"/>
  <c r="AH4" i="1"/>
  <c r="AE22" i="1"/>
  <c r="AH22" i="1" s="1"/>
  <c r="AE21" i="1"/>
  <c r="AE20" i="1"/>
  <c r="AE19" i="1"/>
  <c r="AH19" i="1" s="1"/>
  <c r="AE18" i="1"/>
  <c r="AH18" i="1" s="1"/>
  <c r="AE17" i="1"/>
  <c r="AE16" i="1"/>
  <c r="AH16" i="1" s="1"/>
  <c r="AE15" i="1"/>
  <c r="AH15" i="1" s="1"/>
  <c r="AE14" i="1"/>
  <c r="AH14" i="1" s="1"/>
  <c r="AE13" i="1"/>
  <c r="AE12" i="1"/>
  <c r="AH12" i="1" s="1"/>
  <c r="AE11" i="1"/>
  <c r="AH11" i="1" s="1"/>
  <c r="AE10" i="1"/>
  <c r="AE9" i="1"/>
  <c r="AH9" i="1" s="1"/>
  <c r="AE8" i="1"/>
  <c r="AH8" i="1" s="1"/>
  <c r="AE7" i="1"/>
  <c r="AH7" i="1" s="1"/>
  <c r="AE6" i="1"/>
  <c r="AH6" i="1" s="1"/>
  <c r="AE5" i="1"/>
  <c r="AE4" i="1"/>
  <c r="AE3" i="1"/>
  <c r="AH3" i="1" s="1"/>
  <c r="AE2" i="1"/>
  <c r="AH2" i="1" s="1"/>
  <c r="B31" i="7" l="1"/>
  <c r="M31" i="7"/>
  <c r="AE31" i="7" s="1"/>
  <c r="AH31" i="7" s="1"/>
  <c r="AA36" i="3"/>
  <c r="AK12" i="5"/>
  <c r="P31" i="5"/>
  <c r="AH31" i="5" s="1"/>
  <c r="AK31" i="5" s="1"/>
  <c r="AH2" i="5"/>
  <c r="AK2" i="5" s="1"/>
  <c r="T6" i="4"/>
  <c r="AD3" i="3"/>
  <c r="AH33" i="2"/>
  <c r="AE23" i="1"/>
  <c r="AD23" i="1"/>
  <c r="AC23" i="1"/>
  <c r="AB23" i="1"/>
  <c r="AA23" i="1"/>
  <c r="Z23" i="1"/>
  <c r="X23" i="1"/>
  <c r="W23" i="1"/>
  <c r="V23" i="1"/>
  <c r="U23" i="1"/>
  <c r="T23" i="1"/>
  <c r="S23" i="1"/>
  <c r="R23" i="1"/>
  <c r="Q23" i="1"/>
  <c r="P23" i="1"/>
  <c r="O23" i="1"/>
  <c r="N23" i="1"/>
  <c r="L23" i="1"/>
  <c r="K23" i="1"/>
  <c r="J23" i="1"/>
  <c r="I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<sst xmlns="http://schemas.openxmlformats.org/spreadsheetml/2006/main" count="60" uniqueCount="12">
  <si>
    <t>Date</t>
  </si>
  <si>
    <t>Total</t>
  </si>
  <si>
    <t>Op Pay</t>
  </si>
  <si>
    <t>Bill Qty</t>
  </si>
  <si>
    <t>Pending Pay</t>
  </si>
  <si>
    <t>Amt</t>
  </si>
  <si>
    <t>Tally Difference</t>
  </si>
  <si>
    <t>Qtls</t>
  </si>
  <si>
    <t>Amount</t>
  </si>
  <si>
    <t>Excel Difference</t>
  </si>
  <si>
    <t>Op Qty</t>
  </si>
  <si>
    <t>Pending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</si>
</sst>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.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164" fontId="1" fillId="0" borderId="1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3" borderId="0" xfId="0" applyFill="1"/>
    <xf numFmtId="164" fontId="1" fillId="3" borderId="1" xfId="0" applyNumberFormat="1" applyFont="1" applyFill="1" applyBorder="1" applyAlignment="1">
      <alignment horizontal="right" vertical="top"/>
    </xf>
    <xf numFmtId="164" fontId="1" fillId="0" borderId="0" xfId="0" applyNumberFormat="1" applyFont="1" applyBorder="1" applyAlignment="1">
      <alignment horizontal="right" vertical="top"/>
    </xf>
    <xf numFmtId="164" fontId="1" fillId="0" borderId="0" xfId="0" applyNumberFormat="1" applyFont="1" applyFill="1" applyBorder="1" applyAlignment="1">
      <alignment horizontal="right" vertical="top"/>
    </xf>
    <xf numFmtId="2" fontId="0" fillId="0" borderId="0" xfId="0" applyNumberFormat="1" applyFill="1" applyBorder="1"/>
    <xf numFmtId="0" fontId="0" fillId="2" borderId="0" xfId="0" applyFill="1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0" fontId="0" fillId="2" borderId="0" xfId="0" applyFill="1" applyBorder="1"/>
    <xf numFmtId="164" fontId="1" fillId="2" borderId="0" xfId="0" applyNumberFormat="1" applyFont="1" applyFill="1" applyBorder="1" applyAlignment="1">
      <alignment horizontal="right" vertical="top"/>
    </xf>
    <xf numFmtId="0" fontId="0" fillId="0" borderId="0" xfId="0" applyNumberFormat="1"/>
    <xf numFmtId="2" fontId="0" fillId="4" borderId="0" xfId="0" applyNumberFormat="1" applyFill="1" applyBorder="1"/>
    <xf numFmtId="0" fontId="0" fillId="0" borderId="0" xfId="0" applyFill="1" applyBorder="1"/>
    <xf numFmtId="2" fontId="0" fillId="0" borderId="0" xfId="0" applyNumberFormat="1" applyBorder="1"/>
    <xf numFmtId="2" fontId="2" fillId="0" borderId="0" xfId="0" applyNumberFormat="1" applyFont="1" applyFill="1" applyBorder="1"/>
    <xf numFmtId="2" fontId="0" fillId="5" borderId="0" xfId="0" applyNumberFormat="1" applyFill="1" applyBorder="1"/>
    <xf numFmtId="0" fontId="0" fillId="2" borderId="0" xfId="0" applyNumberFormat="1" applyFill="1"/>
    <xf numFmtId="164" fontId="1" fillId="2" borderId="3" xfId="0" applyNumberFormat="1" applyFont="1" applyFill="1" applyBorder="1" applyAlignment="1">
      <alignment horizontal="right" vertical="top"/>
    </xf>
    <xf numFmtId="2" fontId="0" fillId="2" borderId="0" xfId="0" applyNumberFormat="1" applyFill="1" applyBorder="1"/>
    <xf numFmtId="2" fontId="2" fillId="6" borderId="0" xfId="0" applyNumberFormat="1" applyFont="1" applyFill="1" applyBorder="1"/>
    <xf numFmtId="2" fontId="0" fillId="6" borderId="0" xfId="0" applyNumberFormat="1" applyFill="1" applyBorder="1"/>
    <xf numFmtId="2" fontId="2" fillId="0" borderId="0" xfId="0" applyNumberFormat="1" applyFont="1" applyBorder="1"/>
    <xf numFmtId="14" fontId="0" fillId="2" borderId="0" xfId="0" applyNumberFormat="1" applyFill="1" applyBorder="1"/>
    <xf numFmtId="2" fontId="3" fillId="6" borderId="0" xfId="0" applyNumberFormat="1" applyFont="1" applyFill="1" applyBorder="1"/>
    <xf numFmtId="2" fontId="0" fillId="0" borderId="0" xfId="0" applyNumberFormat="1"/>
    <xf numFmtId="2" fontId="0" fillId="2" borderId="0" xfId="0" applyNumberFormat="1" applyFill="1"/>
    <xf numFmtId="0" fontId="2" fillId="2" borderId="0" xfId="0" applyFont="1" applyFill="1"/>
    <xf numFmtId="2" fontId="2" fillId="2" borderId="0" xfId="0" applyNumberFormat="1" applyFont="1" applyFill="1"/>
    <xf numFmtId="2" fontId="0" fillId="0" borderId="0" xfId="0" applyNumberFormat="1" applyFill="1"/>
    <xf numFmtId="14" fontId="0" fillId="2" borderId="0" xfId="0" applyNumberFormat="1" applyFill="1"/>
    <xf numFmtId="2" fontId="0" fillId="7" borderId="0" xfId="0" applyNumberFormat="1" applyFont="1" applyFill="1"/>
    <xf numFmtId="2" fontId="0" fillId="7" borderId="0" xfId="0" applyNumberFormat="1" applyFill="1"/>
    <xf numFmtId="0" fontId="0" fillId="7" borderId="0" xfId="0" applyFill="1"/>
    <xf numFmtId="0" fontId="4" fillId="0" borderId="0" xfId="0" applyFont="1"/>
    <xf numFmtId="0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H18" sqref="AH18"/>
    </sheetView>
  </sheetViews>
  <sheetFormatPr defaultRowHeight="15" x14ac:dyDescent="0.25"/>
  <cols>
    <col min="1" max="1" width="11.5703125" customWidth="1"/>
    <col min="2" max="2" width="10.42578125" bestFit="1" customWidth="1"/>
    <col min="3" max="3" width="10.85546875" customWidth="1"/>
    <col min="4" max="7" width="10.42578125" bestFit="1" customWidth="1"/>
    <col min="8" max="8" width="10.140625" customWidth="1"/>
    <col min="9" max="9" width="10.5703125" customWidth="1"/>
    <col min="10" max="10" width="10.42578125" bestFit="1" customWidth="1"/>
    <col min="11" max="12" width="10.42578125" hidden="1" customWidth="1"/>
    <col min="13" max="13" width="10.42578125" customWidth="1"/>
    <col min="14" max="18" width="10.42578125" bestFit="1" customWidth="1"/>
    <col min="19" max="19" width="10.42578125" hidden="1" customWidth="1"/>
    <col min="20" max="23" width="10.42578125" bestFit="1" customWidth="1"/>
    <col min="24" max="24" width="10.42578125" hidden="1" customWidth="1"/>
    <col min="25" max="25" width="10.42578125" customWidth="1"/>
    <col min="26" max="26" width="10.42578125" bestFit="1" customWidth="1"/>
    <col min="27" max="27" width="10.42578125" hidden="1" customWidth="1"/>
    <col min="28" max="29" width="10.42578125" bestFit="1" customWidth="1"/>
    <col min="30" max="30" width="13.7109375" customWidth="1"/>
    <col min="31" max="31" width="13.5703125" customWidth="1"/>
    <col min="32" max="32" width="17.42578125" customWidth="1"/>
    <col min="33" max="33" width="12.7109375" customWidth="1"/>
    <col min="34" max="34" width="11.85546875" bestFit="1" customWidth="1"/>
  </cols>
  <sheetData>
    <row r="1" spans="1:38" x14ac:dyDescent="0.25">
      <c r="A1" t="s">
        <v>0</v>
      </c>
      <c r="B1" s="1">
        <v>45750</v>
      </c>
      <c r="C1" s="1">
        <v>45751</v>
      </c>
      <c r="D1" s="1">
        <v>45752</v>
      </c>
      <c r="E1" s="1">
        <v>45754</v>
      </c>
      <c r="F1" s="1">
        <v>45755</v>
      </c>
      <c r="G1" s="1">
        <v>45756</v>
      </c>
      <c r="H1" s="1">
        <v>45757</v>
      </c>
      <c r="I1" s="1">
        <v>45758</v>
      </c>
      <c r="J1" s="1">
        <v>45759</v>
      </c>
      <c r="K1" s="1">
        <v>45760</v>
      </c>
      <c r="L1" s="1">
        <v>45761</v>
      </c>
      <c r="M1" s="1">
        <v>45761</v>
      </c>
      <c r="N1" s="1">
        <v>45762</v>
      </c>
      <c r="O1" s="1">
        <v>45763</v>
      </c>
      <c r="P1" s="1">
        <v>45764</v>
      </c>
      <c r="Q1" s="1">
        <v>45765</v>
      </c>
      <c r="R1" s="1">
        <v>45766</v>
      </c>
      <c r="S1" s="1">
        <v>45767</v>
      </c>
      <c r="T1" s="1">
        <v>45768</v>
      </c>
      <c r="U1" s="1">
        <v>45769</v>
      </c>
      <c r="V1" s="1">
        <v>45770</v>
      </c>
      <c r="W1" s="1">
        <v>45771</v>
      </c>
      <c r="X1" s="1">
        <v>45772</v>
      </c>
      <c r="Y1" s="1">
        <v>45772</v>
      </c>
      <c r="Z1" s="1">
        <v>45773</v>
      </c>
      <c r="AA1" s="1">
        <v>45774</v>
      </c>
      <c r="AB1" s="1">
        <v>45775</v>
      </c>
      <c r="AC1" s="1">
        <v>45776</v>
      </c>
      <c r="AD1" s="1">
        <v>45777</v>
      </c>
      <c r="AE1" t="s">
        <v>1</v>
      </c>
      <c r="AF1" t="s">
        <v>2</v>
      </c>
      <c r="AG1" t="s">
        <v>3</v>
      </c>
      <c r="AH1" t="s">
        <v>4</v>
      </c>
    </row>
    <row r="2" spans="1:38" x14ac:dyDescent="0.25">
      <c r="A2" s="1">
        <v>45750</v>
      </c>
      <c r="B2">
        <v>1076512.3999999999</v>
      </c>
      <c r="C2">
        <v>249136.30000000002</v>
      </c>
      <c r="D2" s="5">
        <v>26346.6</v>
      </c>
      <c r="AE2">
        <f>SUM(B2:AD2)</f>
        <v>1351995.3</v>
      </c>
      <c r="AG2">
        <v>1351995.3</v>
      </c>
      <c r="AH2" s="32">
        <f>AG2-AE2</f>
        <v>0</v>
      </c>
    </row>
    <row r="3" spans="1:38" x14ac:dyDescent="0.25">
      <c r="A3" s="1">
        <v>45751</v>
      </c>
      <c r="C3">
        <v>569428.19999999995</v>
      </c>
      <c r="D3">
        <v>75289.55</v>
      </c>
      <c r="E3" s="2">
        <v>15544.8</v>
      </c>
      <c r="AE3">
        <f t="shared" ref="AE3:AE22" si="0">SUM(B3:AD3)</f>
        <v>660262.55000000005</v>
      </c>
      <c r="AG3">
        <v>660262.55000000005</v>
      </c>
      <c r="AH3" s="32">
        <f t="shared" ref="AH3:AH22" si="1">AG3-AE3</f>
        <v>0</v>
      </c>
    </row>
    <row r="4" spans="1:38" x14ac:dyDescent="0.25">
      <c r="A4" s="1">
        <v>45752</v>
      </c>
      <c r="D4">
        <v>90569.9</v>
      </c>
      <c r="AE4">
        <f t="shared" si="0"/>
        <v>90569.9</v>
      </c>
      <c r="AG4">
        <v>90569.9</v>
      </c>
      <c r="AH4" s="32">
        <f t="shared" si="1"/>
        <v>0</v>
      </c>
    </row>
    <row r="5" spans="1:38" x14ac:dyDescent="0.25">
      <c r="A5" s="1">
        <v>45754</v>
      </c>
      <c r="E5">
        <v>500765.3</v>
      </c>
      <c r="F5" s="3">
        <v>14849.45</v>
      </c>
      <c r="G5">
        <v>11435</v>
      </c>
      <c r="H5" s="4">
        <v>17320</v>
      </c>
      <c r="AE5">
        <f t="shared" si="0"/>
        <v>544369.75</v>
      </c>
      <c r="AG5">
        <v>544369.75</v>
      </c>
      <c r="AH5" s="32">
        <f t="shared" si="1"/>
        <v>0</v>
      </c>
    </row>
    <row r="6" spans="1:38" x14ac:dyDescent="0.25">
      <c r="A6" s="1">
        <v>45755</v>
      </c>
      <c r="F6">
        <v>872005.75</v>
      </c>
      <c r="G6">
        <v>254254.9</v>
      </c>
      <c r="AE6">
        <f t="shared" si="0"/>
        <v>1126260.6499999999</v>
      </c>
      <c r="AG6">
        <v>1126260.6499999999</v>
      </c>
      <c r="AH6" s="32">
        <f t="shared" si="1"/>
        <v>0</v>
      </c>
    </row>
    <row r="7" spans="1:38" x14ac:dyDescent="0.25">
      <c r="A7" s="1">
        <v>45756</v>
      </c>
      <c r="G7">
        <v>496826.65</v>
      </c>
      <c r="H7">
        <v>73069.850000000006</v>
      </c>
      <c r="I7" s="6">
        <v>56474.65</v>
      </c>
      <c r="Q7" s="2">
        <v>13271.7</v>
      </c>
      <c r="AE7">
        <f t="shared" si="0"/>
        <v>639642.85</v>
      </c>
      <c r="AG7">
        <v>639642.85</v>
      </c>
      <c r="AH7" s="32">
        <f t="shared" si="1"/>
        <v>0</v>
      </c>
    </row>
    <row r="8" spans="1:38" x14ac:dyDescent="0.25">
      <c r="A8" s="1">
        <v>45758</v>
      </c>
      <c r="I8" s="6">
        <v>1258856.6499999999</v>
      </c>
      <c r="J8" s="6">
        <v>80318.149999999994</v>
      </c>
      <c r="M8">
        <v>26918</v>
      </c>
      <c r="N8" s="6">
        <v>45937.95</v>
      </c>
      <c r="AE8">
        <f t="shared" si="0"/>
        <v>1412030.7499999998</v>
      </c>
      <c r="AG8">
        <v>1412030.75</v>
      </c>
      <c r="AH8" s="32">
        <f t="shared" si="1"/>
        <v>0</v>
      </c>
    </row>
    <row r="9" spans="1:38" x14ac:dyDescent="0.25">
      <c r="A9" s="1">
        <v>45759</v>
      </c>
      <c r="J9" s="11">
        <v>330680.09999999998</v>
      </c>
      <c r="M9">
        <v>16299.5</v>
      </c>
      <c r="N9" s="6">
        <v>23590</v>
      </c>
      <c r="O9" s="6">
        <v>49637.25</v>
      </c>
      <c r="AE9">
        <f t="shared" si="0"/>
        <v>420206.85</v>
      </c>
      <c r="AG9">
        <v>420206.85</v>
      </c>
      <c r="AH9" s="32">
        <f t="shared" si="1"/>
        <v>0</v>
      </c>
    </row>
    <row r="10" spans="1:38" x14ac:dyDescent="0.25">
      <c r="A10" s="1">
        <v>45762</v>
      </c>
      <c r="N10" s="6">
        <v>176852.3</v>
      </c>
      <c r="O10" s="6">
        <v>23762.6</v>
      </c>
      <c r="P10" s="7">
        <v>20796.099999999999</v>
      </c>
      <c r="Q10" s="2">
        <v>14774</v>
      </c>
      <c r="U10">
        <v>1267.5</v>
      </c>
      <c r="AE10">
        <f t="shared" si="0"/>
        <v>237452.5</v>
      </c>
      <c r="AG10">
        <v>258405.7</v>
      </c>
      <c r="AH10" s="33">
        <f t="shared" si="1"/>
        <v>20953.200000000012</v>
      </c>
      <c r="AL10">
        <v>1</v>
      </c>
    </row>
    <row r="11" spans="1:38" x14ac:dyDescent="0.25">
      <c r="A11" s="1">
        <v>45763</v>
      </c>
      <c r="O11" s="6">
        <v>252051.55</v>
      </c>
      <c r="P11" s="6">
        <v>70593.95</v>
      </c>
      <c r="Q11" s="2">
        <v>25391.5</v>
      </c>
      <c r="AE11">
        <f t="shared" si="0"/>
        <v>348037</v>
      </c>
      <c r="AG11">
        <v>361891.75</v>
      </c>
      <c r="AH11" s="33">
        <f t="shared" si="1"/>
        <v>13854.75</v>
      </c>
    </row>
    <row r="12" spans="1:38" x14ac:dyDescent="0.25">
      <c r="A12" s="1">
        <v>45764</v>
      </c>
      <c r="P12" s="6">
        <v>232417.95</v>
      </c>
      <c r="Q12">
        <v>143090.1</v>
      </c>
      <c r="R12">
        <v>26419.9</v>
      </c>
      <c r="AE12">
        <f t="shared" si="0"/>
        <v>401927.95000000007</v>
      </c>
      <c r="AG12">
        <v>388073.2</v>
      </c>
      <c r="AH12" s="33">
        <f t="shared" si="1"/>
        <v>-13854.750000000058</v>
      </c>
    </row>
    <row r="13" spans="1:38" x14ac:dyDescent="0.25">
      <c r="A13" s="1">
        <v>45765</v>
      </c>
      <c r="Q13">
        <v>234610.3</v>
      </c>
      <c r="R13">
        <v>60726.2</v>
      </c>
      <c r="T13">
        <v>26823.15</v>
      </c>
      <c r="AE13">
        <f t="shared" si="0"/>
        <v>322159.65000000002</v>
      </c>
      <c r="AG13">
        <v>345159.65</v>
      </c>
      <c r="AH13" s="33">
        <f t="shared" si="1"/>
        <v>23000</v>
      </c>
    </row>
    <row r="14" spans="1:38" x14ac:dyDescent="0.25">
      <c r="A14" s="1">
        <v>45766</v>
      </c>
      <c r="R14">
        <v>317612.95</v>
      </c>
      <c r="T14">
        <v>38452.5</v>
      </c>
      <c r="AE14">
        <f t="shared" si="0"/>
        <v>356065.45</v>
      </c>
      <c r="AG14">
        <v>356065.45</v>
      </c>
      <c r="AH14" s="32">
        <f t="shared" si="1"/>
        <v>0</v>
      </c>
    </row>
    <row r="15" spans="1:38" x14ac:dyDescent="0.25">
      <c r="A15" s="1">
        <v>45768</v>
      </c>
      <c r="T15">
        <v>650185.30000000005</v>
      </c>
      <c r="U15">
        <v>123911.2</v>
      </c>
      <c r="V15" s="4">
        <v>8715</v>
      </c>
      <c r="AE15">
        <f t="shared" si="0"/>
        <v>782811.5</v>
      </c>
      <c r="AG15">
        <v>782811.5</v>
      </c>
      <c r="AH15" s="32">
        <f t="shared" si="1"/>
        <v>0</v>
      </c>
    </row>
    <row r="16" spans="1:38" x14ac:dyDescent="0.25">
      <c r="A16" s="1">
        <v>45769</v>
      </c>
      <c r="U16">
        <v>297354.65000000002</v>
      </c>
      <c r="V16">
        <v>88835.7</v>
      </c>
      <c r="AE16">
        <f t="shared" si="0"/>
        <v>386190.35000000003</v>
      </c>
      <c r="AG16">
        <v>386190.35</v>
      </c>
      <c r="AH16" s="32">
        <f t="shared" si="1"/>
        <v>0</v>
      </c>
    </row>
    <row r="17" spans="1:34" x14ac:dyDescent="0.25">
      <c r="A17" s="1">
        <v>45770</v>
      </c>
      <c r="V17">
        <v>611190.6</v>
      </c>
      <c r="W17">
        <v>213683.6</v>
      </c>
      <c r="Z17" s="4">
        <v>22400</v>
      </c>
      <c r="AE17">
        <f t="shared" si="0"/>
        <v>847274.2</v>
      </c>
      <c r="AG17">
        <v>847274.2</v>
      </c>
      <c r="AH17" s="32">
        <f t="shared" si="1"/>
        <v>0</v>
      </c>
    </row>
    <row r="18" spans="1:34" x14ac:dyDescent="0.25">
      <c r="A18" s="1">
        <v>45771</v>
      </c>
      <c r="W18">
        <v>421727.95</v>
      </c>
      <c r="Y18">
        <v>42814.400000000001</v>
      </c>
      <c r="Z18">
        <v>3042.5</v>
      </c>
      <c r="AE18">
        <f t="shared" si="0"/>
        <v>467584.85000000003</v>
      </c>
      <c r="AG18">
        <v>467584.85</v>
      </c>
      <c r="AH18" s="32">
        <f t="shared" si="1"/>
        <v>0</v>
      </c>
    </row>
    <row r="19" spans="1:34" x14ac:dyDescent="0.25">
      <c r="A19" s="1">
        <v>45772</v>
      </c>
      <c r="Y19">
        <v>645864.25</v>
      </c>
      <c r="Z19">
        <v>36887.75</v>
      </c>
      <c r="AB19" s="2">
        <v>25530</v>
      </c>
      <c r="AE19">
        <f t="shared" si="0"/>
        <v>708282</v>
      </c>
      <c r="AG19">
        <v>762265.85</v>
      </c>
      <c r="AH19" s="33">
        <f t="shared" si="1"/>
        <v>53983.849999999977</v>
      </c>
    </row>
    <row r="20" spans="1:34" x14ac:dyDescent="0.25">
      <c r="A20" s="1">
        <v>45773</v>
      </c>
      <c r="Z20">
        <v>261732.2</v>
      </c>
      <c r="AB20">
        <v>32502</v>
      </c>
      <c r="AC20" s="2">
        <v>2446.5</v>
      </c>
      <c r="AE20">
        <f t="shared" si="0"/>
        <v>296680.7</v>
      </c>
      <c r="AG20">
        <v>297590.7</v>
      </c>
      <c r="AH20" s="33">
        <f t="shared" si="1"/>
        <v>910</v>
      </c>
    </row>
    <row r="21" spans="1:34" x14ac:dyDescent="0.25">
      <c r="A21" s="1">
        <v>45775</v>
      </c>
      <c r="AB21">
        <v>1202939.05</v>
      </c>
      <c r="AC21">
        <v>49934.35</v>
      </c>
      <c r="AD21" s="2">
        <v>22550.25</v>
      </c>
      <c r="AE21">
        <f t="shared" si="0"/>
        <v>1275423.6500000001</v>
      </c>
      <c r="AG21">
        <v>1275423.6499999999</v>
      </c>
      <c r="AH21" s="32">
        <f t="shared" si="1"/>
        <v>0</v>
      </c>
    </row>
    <row r="22" spans="1:34" x14ac:dyDescent="0.25">
      <c r="A22" s="1">
        <v>45776</v>
      </c>
      <c r="AC22">
        <v>426858.55</v>
      </c>
      <c r="AD22">
        <v>62233.4</v>
      </c>
      <c r="AE22">
        <f t="shared" si="0"/>
        <v>489091.95</v>
      </c>
      <c r="AG22">
        <v>564803.5</v>
      </c>
      <c r="AH22" s="33">
        <f t="shared" si="1"/>
        <v>75711.549999999988</v>
      </c>
    </row>
    <row r="23" spans="1:34" x14ac:dyDescent="0.25">
      <c r="A23" t="s">
        <v>1</v>
      </c>
      <c r="B23">
        <f t="shared" ref="B23:Y23" si="2">SUM(B2:B22)</f>
        <v>1076512.3999999999</v>
      </c>
      <c r="C23">
        <f t="shared" si="2"/>
        <v>818564.5</v>
      </c>
      <c r="D23">
        <f t="shared" si="2"/>
        <v>192206.05</v>
      </c>
      <c r="E23">
        <f t="shared" si="2"/>
        <v>516310.1</v>
      </c>
      <c r="F23">
        <f t="shared" si="2"/>
        <v>886855.2</v>
      </c>
      <c r="G23">
        <f t="shared" si="2"/>
        <v>762516.55</v>
      </c>
      <c r="H23">
        <f t="shared" si="2"/>
        <v>90389.85</v>
      </c>
      <c r="I23">
        <f t="shared" si="2"/>
        <v>1315331.2999999998</v>
      </c>
      <c r="J23">
        <f t="shared" si="2"/>
        <v>410998.25</v>
      </c>
      <c r="K23">
        <f t="shared" si="2"/>
        <v>0</v>
      </c>
      <c r="L23">
        <f t="shared" si="2"/>
        <v>0</v>
      </c>
      <c r="M23">
        <f t="shared" si="2"/>
        <v>43217.5</v>
      </c>
      <c r="N23">
        <f t="shared" si="2"/>
        <v>246380.25</v>
      </c>
      <c r="O23">
        <f t="shared" si="2"/>
        <v>325451.40000000002</v>
      </c>
      <c r="P23">
        <f t="shared" si="2"/>
        <v>323808</v>
      </c>
      <c r="Q23">
        <f t="shared" si="2"/>
        <v>431137.6</v>
      </c>
      <c r="R23">
        <f t="shared" si="2"/>
        <v>404759.05000000005</v>
      </c>
      <c r="S23">
        <f t="shared" si="2"/>
        <v>0</v>
      </c>
      <c r="T23">
        <f t="shared" si="2"/>
        <v>715460.95000000007</v>
      </c>
      <c r="U23">
        <f t="shared" si="2"/>
        <v>422533.35000000003</v>
      </c>
      <c r="V23">
        <f t="shared" si="2"/>
        <v>708741.29999999993</v>
      </c>
      <c r="W23">
        <f t="shared" si="2"/>
        <v>635411.55000000005</v>
      </c>
      <c r="X23">
        <f t="shared" si="2"/>
        <v>0</v>
      </c>
      <c r="Y23">
        <f t="shared" si="2"/>
        <v>688678.65</v>
      </c>
      <c r="Z23">
        <f t="shared" ref="Z23:AE23" si="3">SUM(Z2:Z22)</f>
        <v>324062.45</v>
      </c>
      <c r="AA23">
        <f t="shared" si="3"/>
        <v>0</v>
      </c>
      <c r="AB23">
        <f t="shared" si="3"/>
        <v>1260971.05</v>
      </c>
      <c r="AC23">
        <f t="shared" si="3"/>
        <v>479239.39999999997</v>
      </c>
      <c r="AD23">
        <f t="shared" si="3"/>
        <v>84783.65</v>
      </c>
      <c r="AE23">
        <f t="shared" si="3"/>
        <v>13164320.349999998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3"/>
  <sheetViews>
    <sheetView workbookViewId="0">
      <pane xSplit="1" ySplit="1" topLeftCell="U11" activePane="bottomRight" state="frozen"/>
      <selection pane="topRight" activeCell="C1" sqref="C1"/>
      <selection pane="bottomLeft" activeCell="A2" sqref="A2"/>
      <selection pane="bottomRight" activeCell="AK7" sqref="AK7"/>
    </sheetView>
  </sheetViews>
  <sheetFormatPr defaultRowHeight="15" x14ac:dyDescent="0.25"/>
  <cols>
    <col min="1" max="2" width="10.42578125" style="12" bestFit="1" customWidth="1"/>
    <col min="3" max="3" width="13.28515625" style="12" bestFit="1" customWidth="1"/>
    <col min="4" max="4" width="10.42578125" style="12" hidden="1" customWidth="1"/>
    <col min="5" max="10" width="10.42578125" style="12" bestFit="1" customWidth="1"/>
    <col min="11" max="11" width="10.42578125" style="12" hidden="1" customWidth="1"/>
    <col min="12" max="17" width="10.42578125" style="12" bestFit="1" customWidth="1"/>
    <col min="18" max="18" width="10.42578125" style="12" hidden="1" customWidth="1"/>
    <col min="19" max="21" width="10.42578125" style="12" bestFit="1" customWidth="1"/>
    <col min="22" max="22" width="10.42578125" style="12" hidden="1" customWidth="1"/>
    <col min="23" max="23" width="10.42578125" style="12" customWidth="1"/>
    <col min="24" max="24" width="10.42578125" style="12" bestFit="1" customWidth="1"/>
    <col min="25" max="25" width="10.42578125" style="12" hidden="1" customWidth="1"/>
    <col min="26" max="26" width="10.42578125" style="12" bestFit="1" customWidth="1"/>
    <col min="27" max="27" width="10.42578125" style="12" hidden="1" customWidth="1"/>
    <col min="28" max="33" width="10.42578125" style="12" bestFit="1" customWidth="1"/>
    <col min="34" max="34" width="21.42578125" style="12" customWidth="1"/>
    <col min="35" max="35" width="15" style="12" customWidth="1"/>
    <col min="36" max="36" width="18" style="12" customWidth="1"/>
    <col min="37" max="37" width="15.28515625" style="12" customWidth="1"/>
    <col min="38" max="16384" width="9.140625" style="12"/>
  </cols>
  <sheetData>
    <row r="1" spans="1:37" x14ac:dyDescent="0.25">
      <c r="A1" s="12" t="s">
        <v>0</v>
      </c>
      <c r="B1" s="13">
        <v>45779</v>
      </c>
      <c r="C1" s="13">
        <v>45780</v>
      </c>
      <c r="D1" s="13">
        <v>45781</v>
      </c>
      <c r="E1" s="13">
        <v>45782</v>
      </c>
      <c r="F1" s="13">
        <v>45783</v>
      </c>
      <c r="G1" s="13">
        <v>45784</v>
      </c>
      <c r="H1" s="13">
        <v>45785</v>
      </c>
      <c r="I1" s="13">
        <v>45786</v>
      </c>
      <c r="J1" s="13">
        <v>45787</v>
      </c>
      <c r="K1" s="13">
        <v>45788</v>
      </c>
      <c r="L1" s="13">
        <v>45789</v>
      </c>
      <c r="M1" s="13">
        <v>45790</v>
      </c>
      <c r="N1" s="13">
        <v>45791</v>
      </c>
      <c r="O1" s="13">
        <v>45792</v>
      </c>
      <c r="P1" s="13">
        <v>45793</v>
      </c>
      <c r="Q1" s="13">
        <v>45794</v>
      </c>
      <c r="R1" s="13">
        <v>45795</v>
      </c>
      <c r="S1" s="13">
        <v>45796</v>
      </c>
      <c r="T1" s="13">
        <v>45797</v>
      </c>
      <c r="U1" s="13">
        <v>45798</v>
      </c>
      <c r="V1" s="13">
        <v>45799</v>
      </c>
      <c r="W1" s="13">
        <v>45799</v>
      </c>
      <c r="X1" s="13">
        <v>45800</v>
      </c>
      <c r="Y1" s="13"/>
      <c r="Z1" s="13">
        <v>45801</v>
      </c>
      <c r="AA1" s="13">
        <v>45802</v>
      </c>
      <c r="AB1" s="13">
        <v>45803</v>
      </c>
      <c r="AC1" s="13">
        <v>45804</v>
      </c>
      <c r="AD1" s="13">
        <v>45805</v>
      </c>
      <c r="AE1" s="13">
        <v>45806</v>
      </c>
      <c r="AF1" s="13">
        <v>45807</v>
      </c>
      <c r="AG1" s="13">
        <v>45808</v>
      </c>
      <c r="AH1" s="12" t="s">
        <v>1</v>
      </c>
      <c r="AI1" s="12" t="s">
        <v>2</v>
      </c>
      <c r="AJ1" s="12" t="s">
        <v>3</v>
      </c>
      <c r="AK1" s="12" t="s">
        <v>4</v>
      </c>
    </row>
    <row r="2" spans="1:37" x14ac:dyDescent="0.25">
      <c r="A2" s="13">
        <v>45762</v>
      </c>
      <c r="B2" s="8">
        <v>20953.2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>
        <f>SUM(B2:AG2)</f>
        <v>20953.2</v>
      </c>
      <c r="AI2" s="12">
        <f t="shared" ref="AI2:AI6" si="0">AH2-AF2</f>
        <v>20953.2</v>
      </c>
      <c r="AK2" s="21">
        <f>AI2-AH2</f>
        <v>0</v>
      </c>
    </row>
    <row r="3" spans="1:37" x14ac:dyDescent="0.25">
      <c r="A3" s="13">
        <v>45765</v>
      </c>
      <c r="B3" s="8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4">
        <f>SUM(B3:AG3)</f>
        <v>0</v>
      </c>
      <c r="AI3" s="12">
        <v>23000</v>
      </c>
      <c r="AK3" s="19">
        <f>AI3-AH3</f>
        <v>23000</v>
      </c>
    </row>
    <row r="4" spans="1:37" x14ac:dyDescent="0.25">
      <c r="A4" s="13">
        <v>45772</v>
      </c>
      <c r="B4" s="8"/>
      <c r="C4" s="8">
        <v>16070.45</v>
      </c>
      <c r="D4" s="13"/>
      <c r="E4" s="13"/>
      <c r="F4" s="13"/>
      <c r="G4" s="13"/>
      <c r="H4" s="8">
        <v>37913.4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>
        <f t="shared" ref="AH4:AH31" si="1">SUM(B4:AG4)</f>
        <v>53983.850000000006</v>
      </c>
      <c r="AI4" s="12">
        <f t="shared" si="0"/>
        <v>53983.850000000006</v>
      </c>
      <c r="AK4" s="21">
        <f t="shared" ref="AK4:AK6" si="2">AI4-AH4</f>
        <v>0</v>
      </c>
    </row>
    <row r="5" spans="1:37" x14ac:dyDescent="0.25">
      <c r="A5" s="13">
        <v>45773</v>
      </c>
      <c r="B5" s="8">
        <v>910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8"/>
      <c r="AC5" s="13"/>
      <c r="AD5" s="13"/>
      <c r="AE5" s="13"/>
      <c r="AF5" s="13"/>
      <c r="AG5" s="13"/>
      <c r="AH5" s="14">
        <f t="shared" si="1"/>
        <v>910</v>
      </c>
      <c r="AI5" s="12">
        <f t="shared" si="0"/>
        <v>910</v>
      </c>
      <c r="AK5" s="21">
        <f t="shared" si="2"/>
        <v>0</v>
      </c>
    </row>
    <row r="6" spans="1:37" x14ac:dyDescent="0.25">
      <c r="A6" s="13">
        <v>45776</v>
      </c>
      <c r="B6" s="8">
        <v>69866.55</v>
      </c>
      <c r="C6" s="8">
        <v>5845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>
        <f t="shared" si="1"/>
        <v>75711.55</v>
      </c>
      <c r="AI6" s="12">
        <f t="shared" si="0"/>
        <v>75711.55</v>
      </c>
      <c r="AK6" s="21">
        <f t="shared" si="2"/>
        <v>0</v>
      </c>
    </row>
    <row r="7" spans="1:37" x14ac:dyDescent="0.25">
      <c r="A7" s="13">
        <v>45779</v>
      </c>
      <c r="B7" s="18">
        <v>609344.44999999995</v>
      </c>
      <c r="C7" s="10">
        <v>213618.2</v>
      </c>
      <c r="AH7" s="14">
        <f t="shared" si="1"/>
        <v>822962.64999999991</v>
      </c>
      <c r="AJ7" s="12">
        <v>822962.65</v>
      </c>
      <c r="AK7" s="19">
        <f t="shared" ref="AK7:AK26" si="3">AJ7-AH7</f>
        <v>0</v>
      </c>
    </row>
    <row r="8" spans="1:37" x14ac:dyDescent="0.25">
      <c r="A8" s="13">
        <v>45780</v>
      </c>
      <c r="C8" s="12">
        <v>206520.25</v>
      </c>
      <c r="AH8" s="14">
        <f t="shared" si="1"/>
        <v>206520.25</v>
      </c>
      <c r="AJ8" s="12">
        <v>206520.25</v>
      </c>
      <c r="AK8" s="21">
        <f t="shared" si="3"/>
        <v>0</v>
      </c>
    </row>
    <row r="9" spans="1:37" x14ac:dyDescent="0.25">
      <c r="A9" s="13">
        <v>45782</v>
      </c>
      <c r="E9" s="12">
        <v>556594.69999999995</v>
      </c>
      <c r="F9" s="12">
        <v>65572.649999999994</v>
      </c>
      <c r="G9" s="8">
        <v>6960</v>
      </c>
      <c r="AH9" s="14">
        <f t="shared" si="1"/>
        <v>629127.35</v>
      </c>
      <c r="AJ9" s="12">
        <v>629127.35</v>
      </c>
      <c r="AK9" s="21">
        <f t="shared" si="3"/>
        <v>0</v>
      </c>
    </row>
    <row r="10" spans="1:37" x14ac:dyDescent="0.25">
      <c r="A10" s="13">
        <v>45783</v>
      </c>
      <c r="F10" s="12">
        <v>413161.05</v>
      </c>
      <c r="G10" s="12">
        <v>46385</v>
      </c>
      <c r="AH10" s="14">
        <f t="shared" si="1"/>
        <v>459546.05</v>
      </c>
      <c r="AJ10" s="12">
        <v>459546.05</v>
      </c>
      <c r="AK10" s="21">
        <f t="shared" si="3"/>
        <v>0</v>
      </c>
    </row>
    <row r="11" spans="1:37" x14ac:dyDescent="0.25">
      <c r="A11" s="13">
        <v>45784</v>
      </c>
      <c r="G11" s="12">
        <v>403293.3</v>
      </c>
      <c r="H11" s="12">
        <v>69548.7</v>
      </c>
      <c r="AH11" s="14">
        <f t="shared" si="1"/>
        <v>472842</v>
      </c>
      <c r="AJ11" s="12">
        <v>472842</v>
      </c>
      <c r="AK11" s="21">
        <f t="shared" si="3"/>
        <v>0</v>
      </c>
    </row>
    <row r="12" spans="1:37" x14ac:dyDescent="0.25">
      <c r="A12" s="13">
        <v>45785</v>
      </c>
      <c r="H12" s="16">
        <v>385552</v>
      </c>
      <c r="I12" s="16">
        <v>186620.05</v>
      </c>
      <c r="J12" s="16">
        <v>15827.5</v>
      </c>
      <c r="AH12" s="14">
        <f t="shared" si="1"/>
        <v>587999.55000000005</v>
      </c>
      <c r="AJ12" s="12">
        <v>587999.55000000005</v>
      </c>
      <c r="AK12" s="21">
        <f t="shared" si="3"/>
        <v>0</v>
      </c>
    </row>
    <row r="13" spans="1:37" x14ac:dyDescent="0.25">
      <c r="A13" s="13">
        <v>45786</v>
      </c>
      <c r="I13" s="16">
        <v>516695.95</v>
      </c>
      <c r="J13" s="16">
        <v>153851.9</v>
      </c>
      <c r="L13" s="17">
        <v>22000</v>
      </c>
      <c r="AB13" s="17">
        <v>13702.5</v>
      </c>
      <c r="AH13" s="14">
        <f t="shared" si="1"/>
        <v>706250.35</v>
      </c>
      <c r="AJ13" s="12">
        <v>706250.35</v>
      </c>
      <c r="AK13" s="19">
        <f t="shared" si="3"/>
        <v>0</v>
      </c>
    </row>
    <row r="14" spans="1:37" x14ac:dyDescent="0.25">
      <c r="A14" s="13">
        <v>45787</v>
      </c>
      <c r="J14" s="16">
        <v>201497.95</v>
      </c>
      <c r="L14" s="17">
        <v>1262.5</v>
      </c>
      <c r="M14" s="24">
        <v>3560</v>
      </c>
      <c r="AH14" s="14">
        <f t="shared" si="1"/>
        <v>206320.45</v>
      </c>
      <c r="AJ14" s="12">
        <v>230538.05</v>
      </c>
      <c r="AK14" s="19">
        <f t="shared" si="3"/>
        <v>24217.599999999977</v>
      </c>
    </row>
    <row r="15" spans="1:37" x14ac:dyDescent="0.25">
      <c r="A15" s="13">
        <v>45789</v>
      </c>
      <c r="L15" s="12">
        <v>783967</v>
      </c>
      <c r="M15" s="12">
        <v>95183.25</v>
      </c>
      <c r="N15" s="12">
        <v>67093.649999999994</v>
      </c>
      <c r="O15" s="12">
        <v>25133.95</v>
      </c>
      <c r="AB15" s="8">
        <v>16225</v>
      </c>
      <c r="AH15" s="14">
        <f t="shared" si="1"/>
        <v>987602.85</v>
      </c>
      <c r="AJ15" s="12">
        <v>987602.85</v>
      </c>
      <c r="AK15" s="21">
        <f t="shared" si="3"/>
        <v>0</v>
      </c>
    </row>
    <row r="16" spans="1:37" x14ac:dyDescent="0.25">
      <c r="A16" s="13">
        <v>45790</v>
      </c>
      <c r="M16" s="12">
        <v>670099.30000000005</v>
      </c>
      <c r="N16" s="12">
        <v>82168.649999999994</v>
      </c>
      <c r="O16" s="12">
        <v>44700</v>
      </c>
      <c r="P16" s="12">
        <v>14420.15</v>
      </c>
      <c r="Q16" s="8">
        <v>2660.9</v>
      </c>
      <c r="AH16" s="14">
        <f t="shared" si="1"/>
        <v>814049.00000000012</v>
      </c>
      <c r="AJ16" s="12">
        <v>814049</v>
      </c>
      <c r="AK16" s="21">
        <f t="shared" si="3"/>
        <v>0</v>
      </c>
    </row>
    <row r="17" spans="1:37" x14ac:dyDescent="0.25">
      <c r="A17" s="13">
        <v>45791</v>
      </c>
      <c r="N17" s="12">
        <v>489455.45</v>
      </c>
      <c r="O17" s="12">
        <v>158938.6</v>
      </c>
      <c r="Q17" s="12">
        <v>29487.45</v>
      </c>
      <c r="X17" s="8">
        <v>3160</v>
      </c>
      <c r="AH17" s="14">
        <f t="shared" si="1"/>
        <v>681041.5</v>
      </c>
      <c r="AJ17" s="12">
        <v>681041.5</v>
      </c>
      <c r="AK17" s="21">
        <f t="shared" si="3"/>
        <v>0</v>
      </c>
    </row>
    <row r="18" spans="1:37" x14ac:dyDescent="0.25">
      <c r="A18" s="13">
        <v>45792</v>
      </c>
      <c r="O18" s="12">
        <v>442446.35</v>
      </c>
      <c r="P18" s="12">
        <v>57132.7</v>
      </c>
      <c r="Q18" s="12">
        <v>5133</v>
      </c>
      <c r="X18" s="8">
        <v>12712.5</v>
      </c>
      <c r="AH18" s="14">
        <f t="shared" si="1"/>
        <v>517424.55</v>
      </c>
      <c r="AJ18" s="12">
        <v>506902.2</v>
      </c>
      <c r="AK18" s="26">
        <f t="shared" si="3"/>
        <v>-10522.349999999977</v>
      </c>
    </row>
    <row r="19" spans="1:37" x14ac:dyDescent="0.25">
      <c r="A19" s="13">
        <v>45793</v>
      </c>
      <c r="P19" s="12">
        <v>242102.25</v>
      </c>
      <c r="Q19" s="12">
        <v>123841.5</v>
      </c>
      <c r="S19" s="12">
        <v>26090</v>
      </c>
      <c r="U19" s="12">
        <v>19129.2</v>
      </c>
      <c r="AH19" s="14">
        <f t="shared" si="1"/>
        <v>411162.95</v>
      </c>
      <c r="AJ19" s="12">
        <v>421685.3</v>
      </c>
      <c r="AK19" s="26">
        <f t="shared" si="3"/>
        <v>10522.349999999977</v>
      </c>
    </row>
    <row r="20" spans="1:37" x14ac:dyDescent="0.25">
      <c r="A20" s="13">
        <v>45794</v>
      </c>
      <c r="Q20" s="12">
        <v>153606.32</v>
      </c>
      <c r="S20" s="12">
        <v>20578.05</v>
      </c>
      <c r="AH20" s="14">
        <f t="shared" si="1"/>
        <v>174184.37</v>
      </c>
      <c r="AJ20" s="12">
        <v>174184.37</v>
      </c>
      <c r="AK20" s="21">
        <f t="shared" si="3"/>
        <v>0</v>
      </c>
    </row>
    <row r="21" spans="1:37" x14ac:dyDescent="0.25">
      <c r="A21" s="13">
        <v>45796</v>
      </c>
      <c r="S21" s="16">
        <v>476838.2</v>
      </c>
      <c r="T21" s="16">
        <v>51337.2</v>
      </c>
      <c r="U21" s="17">
        <v>12476.1</v>
      </c>
      <c r="W21" s="25">
        <v>16620</v>
      </c>
      <c r="AH21" s="14">
        <f t="shared" si="1"/>
        <v>557271.5</v>
      </c>
      <c r="AJ21" s="12">
        <v>560898.5</v>
      </c>
      <c r="AK21" s="19">
        <f t="shared" si="3"/>
        <v>3627</v>
      </c>
    </row>
    <row r="22" spans="1:37" x14ac:dyDescent="0.25">
      <c r="A22" s="13">
        <v>45797</v>
      </c>
      <c r="T22" s="12">
        <v>247556.4</v>
      </c>
      <c r="U22" s="12">
        <v>56673.3</v>
      </c>
      <c r="AH22" s="14">
        <f t="shared" si="1"/>
        <v>304229.7</v>
      </c>
      <c r="AJ22" s="12">
        <v>304229.7</v>
      </c>
      <c r="AK22" s="21">
        <f t="shared" si="3"/>
        <v>0</v>
      </c>
    </row>
    <row r="23" spans="1:37" x14ac:dyDescent="0.25">
      <c r="A23" s="13">
        <v>45798</v>
      </c>
      <c r="U23" s="12">
        <v>228359.75</v>
      </c>
      <c r="W23" s="8">
        <v>21972.35</v>
      </c>
      <c r="AH23" s="14">
        <f t="shared" si="1"/>
        <v>250332.1</v>
      </c>
      <c r="AJ23" s="12">
        <v>250332.1</v>
      </c>
      <c r="AK23" s="21">
        <f t="shared" si="3"/>
        <v>0</v>
      </c>
    </row>
    <row r="24" spans="1:37" x14ac:dyDescent="0.25">
      <c r="A24" s="13">
        <v>45769</v>
      </c>
      <c r="W24" s="12">
        <v>215012.6</v>
      </c>
      <c r="X24" s="12">
        <v>45207.75</v>
      </c>
      <c r="Z24" s="8">
        <v>15881.25</v>
      </c>
      <c r="AH24" s="14">
        <f t="shared" si="1"/>
        <v>276101.59999999998</v>
      </c>
      <c r="AJ24" s="12">
        <v>276101.59999999998</v>
      </c>
      <c r="AK24" s="21">
        <f t="shared" si="3"/>
        <v>0</v>
      </c>
    </row>
    <row r="25" spans="1:37" x14ac:dyDescent="0.25">
      <c r="A25" s="13">
        <v>45800</v>
      </c>
      <c r="X25" s="12">
        <v>333113.95</v>
      </c>
      <c r="Z25" s="12">
        <v>25629.4</v>
      </c>
      <c r="AB25" s="18">
        <v>1890</v>
      </c>
      <c r="AC25" s="8">
        <v>13488</v>
      </c>
      <c r="AH25" s="14">
        <f t="shared" si="1"/>
        <v>374121.35000000003</v>
      </c>
      <c r="AJ25" s="12">
        <v>374466.35</v>
      </c>
      <c r="AK25" s="19">
        <v>345</v>
      </c>
    </row>
    <row r="26" spans="1:37" x14ac:dyDescent="0.25">
      <c r="A26" s="13">
        <v>45801</v>
      </c>
      <c r="Z26" s="12">
        <v>127447.8</v>
      </c>
      <c r="AB26" s="8">
        <v>25145.1</v>
      </c>
      <c r="AH26" s="14">
        <f t="shared" si="1"/>
        <v>152592.9</v>
      </c>
      <c r="AJ26" s="12">
        <v>152592.9</v>
      </c>
      <c r="AK26" s="21">
        <f t="shared" si="3"/>
        <v>0</v>
      </c>
    </row>
    <row r="27" spans="1:37" x14ac:dyDescent="0.25">
      <c r="A27" s="13">
        <v>45803</v>
      </c>
      <c r="AB27" s="18">
        <v>1115176.55</v>
      </c>
      <c r="AC27" s="16">
        <v>129448.6</v>
      </c>
      <c r="AD27" s="16">
        <v>66372.45</v>
      </c>
      <c r="AE27" s="17">
        <v>615</v>
      </c>
      <c r="AF27" s="17">
        <v>2331.5500000000002</v>
      </c>
      <c r="AH27" s="14">
        <f t="shared" si="1"/>
        <v>1313944.1500000001</v>
      </c>
      <c r="AJ27" s="12">
        <v>1317096.2</v>
      </c>
      <c r="AK27" s="19">
        <f t="shared" ref="AK27:AK32" si="4">AJ27-AH27</f>
        <v>3152.0499999998137</v>
      </c>
    </row>
    <row r="28" spans="1:37" x14ac:dyDescent="0.25">
      <c r="A28" s="13">
        <v>45804</v>
      </c>
      <c r="AC28" s="12">
        <v>150824.25</v>
      </c>
      <c r="AD28" s="12">
        <v>75661.75</v>
      </c>
      <c r="AE28" s="8">
        <v>4519.75</v>
      </c>
      <c r="AH28" s="14">
        <f t="shared" si="1"/>
        <v>231005.75</v>
      </c>
      <c r="AJ28" s="12">
        <v>231839.9</v>
      </c>
      <c r="AK28" s="19">
        <f t="shared" si="4"/>
        <v>834.14999999999418</v>
      </c>
    </row>
    <row r="29" spans="1:37" x14ac:dyDescent="0.25">
      <c r="A29" s="13">
        <v>45805</v>
      </c>
      <c r="AD29" s="12">
        <v>482332.15</v>
      </c>
      <c r="AE29" s="12">
        <v>28258.55</v>
      </c>
      <c r="AH29" s="14">
        <f t="shared" si="1"/>
        <v>510590.7</v>
      </c>
      <c r="AJ29" s="12">
        <v>514565.7</v>
      </c>
      <c r="AK29" s="19">
        <f t="shared" si="4"/>
        <v>3975</v>
      </c>
    </row>
    <row r="30" spans="1:37" x14ac:dyDescent="0.25">
      <c r="A30" s="13">
        <v>45806</v>
      </c>
      <c r="AE30" s="12">
        <v>224605.05</v>
      </c>
      <c r="AF30" s="8">
        <v>9155.2999999999993</v>
      </c>
      <c r="AH30" s="14">
        <f t="shared" si="1"/>
        <v>233760.34999999998</v>
      </c>
      <c r="AJ30" s="12">
        <v>233760.35</v>
      </c>
      <c r="AK30" s="21">
        <f t="shared" si="4"/>
        <v>0</v>
      </c>
    </row>
    <row r="31" spans="1:37" x14ac:dyDescent="0.25">
      <c r="A31" s="13">
        <v>45807</v>
      </c>
      <c r="AF31" s="12">
        <v>313175.8</v>
      </c>
      <c r="AG31" s="12">
        <v>39013.4</v>
      </c>
      <c r="AH31" s="14">
        <f t="shared" si="1"/>
        <v>352189.2</v>
      </c>
      <c r="AJ31" s="12">
        <v>354739.20000000001</v>
      </c>
      <c r="AK31" s="19">
        <f t="shared" si="4"/>
        <v>2550</v>
      </c>
    </row>
    <row r="32" spans="1:37" x14ac:dyDescent="0.25">
      <c r="A32" s="13">
        <v>45808</v>
      </c>
      <c r="AG32" s="12">
        <v>86822.15</v>
      </c>
      <c r="AH32" s="14">
        <f>SUM(B32:AG32)</f>
        <v>86822.15</v>
      </c>
      <c r="AJ32" s="12">
        <v>92074.05</v>
      </c>
      <c r="AK32" s="19">
        <f t="shared" si="4"/>
        <v>5251.9000000000087</v>
      </c>
    </row>
    <row r="33" spans="2:34" x14ac:dyDescent="0.25">
      <c r="B33" s="14">
        <f>SUM(B2:B32)</f>
        <v>701074.2</v>
      </c>
      <c r="C33" s="14">
        <f t="shared" ref="C33:AG33" si="5">SUM(C2:C32)</f>
        <v>442053.9</v>
      </c>
      <c r="D33" s="14">
        <f t="shared" si="5"/>
        <v>0</v>
      </c>
      <c r="E33" s="14">
        <f t="shared" si="5"/>
        <v>556594.69999999995</v>
      </c>
      <c r="F33" s="14">
        <f t="shared" si="5"/>
        <v>478733.69999999995</v>
      </c>
      <c r="G33" s="14">
        <f t="shared" si="5"/>
        <v>456638.3</v>
      </c>
      <c r="H33" s="14">
        <f t="shared" si="5"/>
        <v>493014.1</v>
      </c>
      <c r="I33" s="14">
        <f t="shared" si="5"/>
        <v>703316</v>
      </c>
      <c r="J33" s="14">
        <f t="shared" si="5"/>
        <v>371177.35</v>
      </c>
      <c r="K33" s="14">
        <f t="shared" si="5"/>
        <v>0</v>
      </c>
      <c r="L33" s="14">
        <f t="shared" si="5"/>
        <v>807229.5</v>
      </c>
      <c r="M33" s="14">
        <f t="shared" si="5"/>
        <v>768842.55</v>
      </c>
      <c r="N33" s="14">
        <f t="shared" si="5"/>
        <v>638717.75</v>
      </c>
      <c r="O33" s="14">
        <f t="shared" si="5"/>
        <v>671218.89999999991</v>
      </c>
      <c r="P33" s="14">
        <f t="shared" si="5"/>
        <v>313655.09999999998</v>
      </c>
      <c r="Q33" s="14">
        <f t="shared" si="5"/>
        <v>314729.17000000004</v>
      </c>
      <c r="R33" s="14">
        <f t="shared" si="5"/>
        <v>0</v>
      </c>
      <c r="S33" s="14">
        <f t="shared" si="5"/>
        <v>523506.25</v>
      </c>
      <c r="T33" s="14">
        <f t="shared" si="5"/>
        <v>298893.59999999998</v>
      </c>
      <c r="U33" s="14">
        <f t="shared" si="5"/>
        <v>316638.34999999998</v>
      </c>
      <c r="V33" s="14">
        <f t="shared" si="5"/>
        <v>0</v>
      </c>
      <c r="W33" s="14">
        <f t="shared" si="5"/>
        <v>253604.95</v>
      </c>
      <c r="X33" s="14">
        <f t="shared" si="5"/>
        <v>394194.2</v>
      </c>
      <c r="Y33" s="14">
        <f t="shared" si="5"/>
        <v>0</v>
      </c>
      <c r="Z33" s="14">
        <f t="shared" si="5"/>
        <v>168958.45</v>
      </c>
      <c r="AA33" s="14">
        <f t="shared" si="5"/>
        <v>0</v>
      </c>
      <c r="AB33" s="14">
        <f t="shared" si="5"/>
        <v>1172139.1500000001</v>
      </c>
      <c r="AC33" s="14">
        <f t="shared" si="5"/>
        <v>293760.84999999998</v>
      </c>
      <c r="AD33" s="14">
        <f t="shared" si="5"/>
        <v>624366.35000000009</v>
      </c>
      <c r="AE33" s="14">
        <f t="shared" si="5"/>
        <v>257998.34999999998</v>
      </c>
      <c r="AF33" s="14">
        <f t="shared" si="5"/>
        <v>324662.64999999997</v>
      </c>
      <c r="AG33" s="14">
        <f t="shared" si="5"/>
        <v>125835.54999999999</v>
      </c>
      <c r="AH33" s="14">
        <f>SUM(B33:AG33)</f>
        <v>12471553.919999996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workbookViewId="0">
      <pane xSplit="1" ySplit="1" topLeftCell="Q23" activePane="bottomRight" state="frozen"/>
      <selection pane="topRight" activeCell="B1" sqref="B1"/>
      <selection pane="bottomLeft" activeCell="A2" sqref="A2"/>
      <selection pane="bottomRight" activeCell="AD46" sqref="AD46"/>
    </sheetView>
  </sheetViews>
  <sheetFormatPr defaultRowHeight="15" x14ac:dyDescent="0.25"/>
  <cols>
    <col min="1" max="26" width="10.42578125" style="12" bestFit="1" customWidth="1"/>
    <col min="27" max="27" width="16.5703125" style="12" customWidth="1"/>
    <col min="28" max="28" width="15.28515625" style="12" customWidth="1"/>
    <col min="29" max="29" width="13.5703125" style="12" customWidth="1"/>
    <col min="30" max="30" width="15.140625" style="12" customWidth="1"/>
    <col min="31" max="16384" width="9.140625" style="12"/>
  </cols>
  <sheetData>
    <row r="1" spans="1:30" x14ac:dyDescent="0.25">
      <c r="A1" s="12" t="s">
        <v>0</v>
      </c>
      <c r="B1" s="13">
        <v>45810</v>
      </c>
      <c r="C1" s="13">
        <v>45811</v>
      </c>
      <c r="D1" s="13">
        <v>45812</v>
      </c>
      <c r="E1" s="13">
        <v>45813</v>
      </c>
      <c r="F1" s="13">
        <v>45814</v>
      </c>
      <c r="G1" s="13">
        <v>45815</v>
      </c>
      <c r="H1" s="13">
        <v>45817</v>
      </c>
      <c r="I1" s="13">
        <v>45818</v>
      </c>
      <c r="J1" s="13">
        <v>45819</v>
      </c>
      <c r="K1" s="13">
        <v>45820</v>
      </c>
      <c r="L1" s="13">
        <v>45821</v>
      </c>
      <c r="M1" s="13">
        <v>45822</v>
      </c>
      <c r="N1" s="13">
        <v>45824</v>
      </c>
      <c r="O1" s="13">
        <v>45825</v>
      </c>
      <c r="P1" s="13">
        <v>45826</v>
      </c>
      <c r="Q1" s="13">
        <v>45827</v>
      </c>
      <c r="R1" s="13">
        <v>45828</v>
      </c>
      <c r="S1" s="13">
        <v>45829</v>
      </c>
      <c r="T1" s="13">
        <v>45831</v>
      </c>
      <c r="U1" s="13">
        <v>45832</v>
      </c>
      <c r="V1" s="13">
        <v>45833</v>
      </c>
      <c r="W1" s="13">
        <v>45834</v>
      </c>
      <c r="X1" s="13">
        <v>45835</v>
      </c>
      <c r="Y1" s="13">
        <v>45836</v>
      </c>
      <c r="Z1" s="13">
        <v>45838</v>
      </c>
      <c r="AA1" s="12" t="s">
        <v>1</v>
      </c>
      <c r="AB1" s="12" t="s">
        <v>2</v>
      </c>
      <c r="AC1" s="12" t="s">
        <v>3</v>
      </c>
      <c r="AD1" s="12" t="s">
        <v>4</v>
      </c>
    </row>
    <row r="2" spans="1:30" x14ac:dyDescent="0.25">
      <c r="A2" s="13">
        <v>45765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21">
        <f>SUM(B2:Z2)</f>
        <v>0</v>
      </c>
      <c r="AB2" s="15">
        <v>23000</v>
      </c>
      <c r="AD2" s="27">
        <f>AB2-AA2</f>
        <v>23000</v>
      </c>
    </row>
    <row r="3" spans="1:30" x14ac:dyDescent="0.25">
      <c r="A3" s="13">
        <v>45787</v>
      </c>
      <c r="B3" s="4">
        <v>24217.599999999999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21">
        <f t="shared" ref="AA3:AA35" si="0">SUM(B3:Z3)</f>
        <v>24217.599999999999</v>
      </c>
      <c r="AB3" s="15">
        <f>'Onion May'!AK14</f>
        <v>24217.599999999977</v>
      </c>
      <c r="AD3" s="21">
        <f t="shared" ref="AD3:AD6" si="1">AB3-AA3</f>
        <v>0</v>
      </c>
    </row>
    <row r="4" spans="1:30" x14ac:dyDescent="0.25">
      <c r="A4" s="13">
        <v>45796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21">
        <f t="shared" si="0"/>
        <v>0</v>
      </c>
      <c r="AB4" s="15">
        <v>14332</v>
      </c>
      <c r="AD4" s="28">
        <f t="shared" si="1"/>
        <v>14332</v>
      </c>
    </row>
    <row r="5" spans="1:30" x14ac:dyDescent="0.25">
      <c r="A5" s="13">
        <v>45800</v>
      </c>
      <c r="B5" s="13"/>
      <c r="C5" s="13"/>
      <c r="D5" s="13"/>
      <c r="E5" s="13"/>
      <c r="F5" s="13"/>
      <c r="G5" s="4">
        <v>345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21">
        <f t="shared" si="0"/>
        <v>345</v>
      </c>
      <c r="AB5" s="15">
        <v>345</v>
      </c>
      <c r="AD5" s="21">
        <f t="shared" si="1"/>
        <v>0</v>
      </c>
    </row>
    <row r="6" spans="1:30" x14ac:dyDescent="0.25">
      <c r="A6" s="13">
        <v>45803</v>
      </c>
      <c r="B6" s="13"/>
      <c r="C6" s="4">
        <v>3152.05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21">
        <f t="shared" si="0"/>
        <v>3152.05</v>
      </c>
      <c r="AB6" s="15">
        <v>3152.05</v>
      </c>
      <c r="AD6" s="21">
        <f t="shared" si="1"/>
        <v>0</v>
      </c>
    </row>
    <row r="7" spans="1:30" x14ac:dyDescent="0.25">
      <c r="A7" s="13">
        <v>45804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21">
        <f t="shared" si="0"/>
        <v>0</v>
      </c>
      <c r="AB7" s="15">
        <v>834.1</v>
      </c>
      <c r="AD7" s="28">
        <f>AB7-AA7</f>
        <v>834.1</v>
      </c>
    </row>
    <row r="8" spans="1:30" x14ac:dyDescent="0.25">
      <c r="A8" s="13">
        <v>45805</v>
      </c>
      <c r="B8" s="4">
        <v>3975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21">
        <f t="shared" si="0"/>
        <v>3975</v>
      </c>
      <c r="AB8" s="15">
        <v>3975</v>
      </c>
      <c r="AD8" s="21">
        <f>AB8-AA8</f>
        <v>0</v>
      </c>
    </row>
    <row r="9" spans="1:30" x14ac:dyDescent="0.25">
      <c r="A9" s="13">
        <v>45807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4">
        <v>2550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21">
        <f t="shared" si="0"/>
        <v>2550</v>
      </c>
      <c r="AB9" s="15">
        <v>2550</v>
      </c>
      <c r="AD9" s="21">
        <f>AB9-AA9</f>
        <v>0</v>
      </c>
    </row>
    <row r="10" spans="1:30" x14ac:dyDescent="0.25">
      <c r="A10" s="13">
        <v>45808</v>
      </c>
      <c r="B10" s="13"/>
      <c r="C10" s="4">
        <v>890.4</v>
      </c>
      <c r="D10" s="4">
        <v>4361.5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21">
        <f t="shared" si="0"/>
        <v>5251.9</v>
      </c>
      <c r="AB10" s="15">
        <v>5251.9</v>
      </c>
      <c r="AD10" s="21">
        <f>AB10-AA10</f>
        <v>0</v>
      </c>
    </row>
    <row r="11" spans="1:30" x14ac:dyDescent="0.25">
      <c r="A11" s="13">
        <v>45810</v>
      </c>
      <c r="B11" s="12">
        <v>256500.45</v>
      </c>
      <c r="C11" s="12">
        <v>3670</v>
      </c>
      <c r="D11" s="12">
        <v>28591.95</v>
      </c>
      <c r="AA11" s="21">
        <f t="shared" si="0"/>
        <v>288762.40000000002</v>
      </c>
      <c r="AC11" s="12">
        <v>288762.40000000002</v>
      </c>
      <c r="AD11" s="21">
        <f>AC11-AA11</f>
        <v>0</v>
      </c>
    </row>
    <row r="12" spans="1:30" x14ac:dyDescent="0.25">
      <c r="A12" s="13">
        <v>45811</v>
      </c>
      <c r="C12" s="12">
        <v>206653.85</v>
      </c>
      <c r="D12" s="12">
        <v>8587.0499999999993</v>
      </c>
      <c r="AA12" s="21">
        <f t="shared" si="0"/>
        <v>215240.9</v>
      </c>
      <c r="AC12" s="12">
        <v>215240.9</v>
      </c>
      <c r="AD12" s="21">
        <f t="shared" ref="AD12:AD35" si="2">AC12-AA12</f>
        <v>0</v>
      </c>
    </row>
    <row r="13" spans="1:30" x14ac:dyDescent="0.25">
      <c r="A13" s="13">
        <v>45812</v>
      </c>
      <c r="D13" s="12">
        <v>68481.899999999994</v>
      </c>
      <c r="E13" s="12">
        <v>65141.1</v>
      </c>
      <c r="F13" s="20">
        <v>28462</v>
      </c>
      <c r="AA13" s="21">
        <f t="shared" si="0"/>
        <v>162085</v>
      </c>
      <c r="AC13" s="12">
        <v>162816.4</v>
      </c>
      <c r="AD13" s="28">
        <f t="shared" si="2"/>
        <v>731.39999999999418</v>
      </c>
    </row>
    <row r="14" spans="1:30" x14ac:dyDescent="0.25">
      <c r="A14" s="13">
        <v>45813</v>
      </c>
      <c r="E14" s="16">
        <v>220027.85</v>
      </c>
      <c r="F14" s="12">
        <v>29877.75</v>
      </c>
      <c r="H14" s="4">
        <v>1575</v>
      </c>
      <c r="AA14" s="21">
        <f t="shared" si="0"/>
        <v>251480.6</v>
      </c>
      <c r="AC14" s="20">
        <v>306665.59999999998</v>
      </c>
      <c r="AD14" s="26">
        <f t="shared" si="2"/>
        <v>55184.999999999971</v>
      </c>
    </row>
    <row r="15" spans="1:30" x14ac:dyDescent="0.25">
      <c r="A15" s="13">
        <v>45814</v>
      </c>
      <c r="F15" s="16">
        <v>256240.44999999998</v>
      </c>
      <c r="G15" s="25">
        <v>16200</v>
      </c>
      <c r="H15" s="25">
        <v>9243</v>
      </c>
      <c r="I15" s="25">
        <v>13628.4</v>
      </c>
      <c r="AA15" s="21">
        <f t="shared" si="0"/>
        <v>295311.84999999998</v>
      </c>
      <c r="AC15" s="20">
        <v>295311.84999999998</v>
      </c>
      <c r="AD15" s="21">
        <f t="shared" si="2"/>
        <v>0</v>
      </c>
    </row>
    <row r="16" spans="1:30" x14ac:dyDescent="0.25">
      <c r="A16" s="13">
        <v>45815</v>
      </c>
      <c r="G16" s="12">
        <v>167039.4</v>
      </c>
      <c r="H16" s="4">
        <v>42180</v>
      </c>
      <c r="AA16" s="21">
        <f t="shared" si="0"/>
        <v>209219.4</v>
      </c>
      <c r="AC16" s="20">
        <v>209219.4</v>
      </c>
      <c r="AD16" s="21">
        <f t="shared" si="2"/>
        <v>0</v>
      </c>
    </row>
    <row r="17" spans="1:30" x14ac:dyDescent="0.25">
      <c r="A17" s="13">
        <v>45817</v>
      </c>
      <c r="H17" s="9">
        <v>694862.2</v>
      </c>
      <c r="I17" s="12">
        <v>3388.7</v>
      </c>
      <c r="K17" s="4">
        <v>47604.4</v>
      </c>
      <c r="O17" s="4">
        <v>407</v>
      </c>
      <c r="AA17" s="21">
        <f t="shared" si="0"/>
        <v>746262.29999999993</v>
      </c>
      <c r="AC17" s="20">
        <v>746262.3</v>
      </c>
      <c r="AD17" s="21">
        <f t="shared" si="2"/>
        <v>0</v>
      </c>
    </row>
    <row r="18" spans="1:30" x14ac:dyDescent="0.25">
      <c r="A18" s="13">
        <v>45818</v>
      </c>
      <c r="I18" s="12">
        <v>399173.75</v>
      </c>
      <c r="J18" s="12">
        <v>71763.25</v>
      </c>
      <c r="AA18" s="21">
        <f t="shared" si="0"/>
        <v>470937</v>
      </c>
      <c r="AC18" s="20">
        <v>470937</v>
      </c>
      <c r="AD18" s="21">
        <f t="shared" si="2"/>
        <v>0</v>
      </c>
    </row>
    <row r="19" spans="1:30" x14ac:dyDescent="0.25">
      <c r="A19" s="13">
        <v>45819</v>
      </c>
      <c r="J19" s="12">
        <v>172147.6</v>
      </c>
      <c r="K19" s="12">
        <v>81017.649999999994</v>
      </c>
      <c r="L19" s="4">
        <v>23730.75</v>
      </c>
      <c r="AA19" s="21">
        <f t="shared" si="0"/>
        <v>276896</v>
      </c>
      <c r="AC19" s="20">
        <v>241563</v>
      </c>
      <c r="AD19" s="26">
        <f t="shared" si="2"/>
        <v>-35333</v>
      </c>
    </row>
    <row r="20" spans="1:30" x14ac:dyDescent="0.25">
      <c r="A20" s="13">
        <v>45820</v>
      </c>
      <c r="K20" s="12">
        <v>688307.7</v>
      </c>
      <c r="L20" s="12">
        <v>92855.5</v>
      </c>
      <c r="AA20" s="21">
        <f t="shared" si="0"/>
        <v>781163.2</v>
      </c>
      <c r="AC20" s="20">
        <v>816496.2</v>
      </c>
      <c r="AD20" s="26">
        <f t="shared" si="2"/>
        <v>35333</v>
      </c>
    </row>
    <row r="21" spans="1:30" x14ac:dyDescent="0.25">
      <c r="A21" s="13">
        <v>45821</v>
      </c>
      <c r="L21" s="12">
        <v>719341.45</v>
      </c>
      <c r="M21" s="4">
        <v>42319.8</v>
      </c>
      <c r="N21" s="12">
        <v>5533.35</v>
      </c>
      <c r="P21" s="4">
        <v>3940</v>
      </c>
      <c r="AA21" s="21">
        <f t="shared" si="0"/>
        <v>771134.6</v>
      </c>
      <c r="AC21" s="20">
        <v>771134.6</v>
      </c>
      <c r="AD21" s="21">
        <f t="shared" si="2"/>
        <v>0</v>
      </c>
    </row>
    <row r="22" spans="1:30" x14ac:dyDescent="0.25">
      <c r="A22" s="13">
        <v>45822</v>
      </c>
      <c r="M22" s="12">
        <v>127100.3</v>
      </c>
      <c r="N22" s="12">
        <v>58721.9</v>
      </c>
      <c r="O22" s="4">
        <v>14950</v>
      </c>
      <c r="AA22" s="21">
        <f t="shared" si="0"/>
        <v>200772.2</v>
      </c>
      <c r="AC22" s="20">
        <v>200772.2</v>
      </c>
      <c r="AD22" s="21">
        <f t="shared" si="2"/>
        <v>0</v>
      </c>
    </row>
    <row r="23" spans="1:30" x14ac:dyDescent="0.25">
      <c r="A23" s="13">
        <v>45824</v>
      </c>
      <c r="N23" s="12">
        <v>596237.94999999995</v>
      </c>
      <c r="O23" s="12">
        <v>131970.04999999999</v>
      </c>
      <c r="X23" s="3">
        <v>220</v>
      </c>
      <c r="AA23" s="21">
        <f t="shared" si="0"/>
        <v>728428</v>
      </c>
      <c r="AC23" s="20">
        <v>728428</v>
      </c>
      <c r="AD23" s="21">
        <f t="shared" si="2"/>
        <v>0</v>
      </c>
    </row>
    <row r="24" spans="1:30" x14ac:dyDescent="0.25">
      <c r="A24" s="13">
        <v>45825</v>
      </c>
      <c r="O24" s="18">
        <v>1048422.0000000002</v>
      </c>
      <c r="P24" s="18">
        <v>133240.6</v>
      </c>
      <c r="AA24" s="21">
        <f t="shared" si="0"/>
        <v>1181662.6000000003</v>
      </c>
      <c r="AC24" s="20">
        <v>1181662.6000000001</v>
      </c>
      <c r="AD24" s="23">
        <f t="shared" si="2"/>
        <v>0</v>
      </c>
    </row>
    <row r="25" spans="1:30" x14ac:dyDescent="0.25">
      <c r="A25" s="13">
        <v>45826</v>
      </c>
      <c r="P25" s="18">
        <v>669211.00000000012</v>
      </c>
      <c r="Q25" s="4">
        <v>17075.849999999999</v>
      </c>
      <c r="R25" s="12">
        <v>49457.599999999999</v>
      </c>
      <c r="AA25" s="21">
        <f t="shared" si="0"/>
        <v>735744.45000000007</v>
      </c>
      <c r="AC25" s="20">
        <v>735744.45</v>
      </c>
      <c r="AD25" s="21">
        <f t="shared" si="2"/>
        <v>0</v>
      </c>
    </row>
    <row r="26" spans="1:30" x14ac:dyDescent="0.25">
      <c r="A26" s="13">
        <v>45827</v>
      </c>
      <c r="Q26" s="12">
        <v>568522.85</v>
      </c>
      <c r="R26" s="12">
        <v>90472</v>
      </c>
      <c r="AA26" s="21">
        <f t="shared" si="0"/>
        <v>658994.85</v>
      </c>
      <c r="AC26" s="20">
        <v>658994.85</v>
      </c>
      <c r="AD26" s="21">
        <f t="shared" si="2"/>
        <v>0</v>
      </c>
    </row>
    <row r="27" spans="1:30" x14ac:dyDescent="0.25">
      <c r="A27" s="13">
        <v>45828</v>
      </c>
      <c r="R27" s="12">
        <v>649935.5</v>
      </c>
      <c r="S27" s="12">
        <v>122081.45</v>
      </c>
      <c r="U27" s="4">
        <v>45340.5</v>
      </c>
      <c r="AA27" s="21">
        <f t="shared" si="0"/>
        <v>817357.45</v>
      </c>
      <c r="AC27" s="20">
        <v>817357.45</v>
      </c>
      <c r="AD27" s="21">
        <f t="shared" si="2"/>
        <v>0</v>
      </c>
    </row>
    <row r="28" spans="1:30" x14ac:dyDescent="0.25">
      <c r="A28" s="13">
        <v>45829</v>
      </c>
      <c r="S28" s="12">
        <v>452568.5</v>
      </c>
      <c r="T28" s="12">
        <v>51250.5</v>
      </c>
      <c r="AA28" s="21">
        <f t="shared" si="0"/>
        <v>503819</v>
      </c>
      <c r="AC28" s="20">
        <v>503819</v>
      </c>
      <c r="AD28" s="21">
        <f t="shared" si="2"/>
        <v>0</v>
      </c>
    </row>
    <row r="29" spans="1:30" x14ac:dyDescent="0.25">
      <c r="A29" s="13">
        <v>45831</v>
      </c>
      <c r="T29" s="12">
        <v>1479057.95</v>
      </c>
      <c r="U29" s="12">
        <v>221696.25</v>
      </c>
      <c r="V29" s="12">
        <v>72090.5</v>
      </c>
      <c r="W29" s="4">
        <v>27750.7</v>
      </c>
      <c r="AA29" s="21">
        <f t="shared" si="0"/>
        <v>1800595.4</v>
      </c>
      <c r="AC29" s="20">
        <v>1844694.95</v>
      </c>
      <c r="AD29" s="26">
        <f t="shared" si="2"/>
        <v>44099.550000000047</v>
      </c>
    </row>
    <row r="30" spans="1:30" x14ac:dyDescent="0.25">
      <c r="A30" s="13">
        <v>45832</v>
      </c>
      <c r="U30" s="16">
        <v>771524.65</v>
      </c>
      <c r="V30" s="16">
        <v>145900.1</v>
      </c>
      <c r="W30" s="25">
        <v>26977.5</v>
      </c>
      <c r="X30" s="5">
        <v>39457.199999999997</v>
      </c>
      <c r="AA30" s="21">
        <f t="shared" si="0"/>
        <v>983859.45</v>
      </c>
      <c r="AC30" s="20">
        <v>983859.45</v>
      </c>
      <c r="AD30" s="21">
        <f t="shared" si="2"/>
        <v>0</v>
      </c>
    </row>
    <row r="31" spans="1:30" x14ac:dyDescent="0.25">
      <c r="A31" s="13">
        <v>45833</v>
      </c>
      <c r="V31" s="12">
        <v>986872.5</v>
      </c>
      <c r="W31" s="12">
        <v>150483.9</v>
      </c>
      <c r="AA31" s="21">
        <f t="shared" si="0"/>
        <v>1137356.3999999999</v>
      </c>
      <c r="AC31" s="20">
        <v>1137356.3999999999</v>
      </c>
      <c r="AD31" s="21">
        <f t="shared" si="2"/>
        <v>0</v>
      </c>
    </row>
    <row r="32" spans="1:30" x14ac:dyDescent="0.25">
      <c r="A32" s="13">
        <v>45834</v>
      </c>
      <c r="W32" s="20">
        <v>469630.5</v>
      </c>
      <c r="X32" s="12">
        <v>43424.6</v>
      </c>
      <c r="Z32" s="4">
        <v>15577.1</v>
      </c>
      <c r="AA32" s="21">
        <f t="shared" si="0"/>
        <v>528632.19999999995</v>
      </c>
      <c r="AC32" s="20">
        <v>536745</v>
      </c>
      <c r="AD32" s="26">
        <f t="shared" si="2"/>
        <v>8112.8000000000466</v>
      </c>
    </row>
    <row r="33" spans="1:30" x14ac:dyDescent="0.25">
      <c r="A33" s="13">
        <v>45835</v>
      </c>
      <c r="X33" s="12">
        <v>564796.4</v>
      </c>
      <c r="Y33" s="12">
        <v>63759</v>
      </c>
      <c r="Z33" s="12">
        <v>29877.599999999999</v>
      </c>
      <c r="AA33" s="21">
        <f t="shared" si="0"/>
        <v>658433</v>
      </c>
      <c r="AC33" s="20">
        <v>658433</v>
      </c>
      <c r="AD33" s="21">
        <f t="shared" si="2"/>
        <v>0</v>
      </c>
    </row>
    <row r="34" spans="1:30" x14ac:dyDescent="0.25">
      <c r="A34" s="13">
        <v>45836</v>
      </c>
      <c r="Y34" s="12">
        <v>448704.1</v>
      </c>
      <c r="Z34" s="4">
        <v>37193.599999999999</v>
      </c>
      <c r="AA34" s="21">
        <f t="shared" si="0"/>
        <v>485897.69999999995</v>
      </c>
      <c r="AC34" s="20">
        <v>514915.5</v>
      </c>
      <c r="AD34" s="26">
        <f t="shared" si="2"/>
        <v>29017.800000000047</v>
      </c>
    </row>
    <row r="35" spans="1:30" x14ac:dyDescent="0.25">
      <c r="A35" s="13">
        <v>45838</v>
      </c>
      <c r="Z35" s="20">
        <v>278977.15000000002</v>
      </c>
      <c r="AA35" s="21">
        <f t="shared" si="0"/>
        <v>278977.15000000002</v>
      </c>
      <c r="AC35" s="20">
        <v>408594.65</v>
      </c>
      <c r="AD35" s="26">
        <f t="shared" si="2"/>
        <v>129617.5</v>
      </c>
    </row>
    <row r="36" spans="1:30" x14ac:dyDescent="0.25">
      <c r="A36" s="12" t="s">
        <v>1</v>
      </c>
      <c r="B36" s="21">
        <f>SUM(B2:B35)</f>
        <v>284693.05</v>
      </c>
      <c r="C36" s="21">
        <f t="shared" ref="C36:Z36" si="3">SUM(C2:C35)</f>
        <v>214366.30000000002</v>
      </c>
      <c r="D36" s="21">
        <f t="shared" si="3"/>
        <v>110022.39999999999</v>
      </c>
      <c r="E36" s="21">
        <f t="shared" si="3"/>
        <v>285168.95</v>
      </c>
      <c r="F36" s="29">
        <f>SUM(F2:F35)</f>
        <v>314580.19999999995</v>
      </c>
      <c r="G36" s="21">
        <f t="shared" si="3"/>
        <v>183584.4</v>
      </c>
      <c r="H36" s="21">
        <f t="shared" si="3"/>
        <v>747860.2</v>
      </c>
      <c r="I36" s="21">
        <f t="shared" si="3"/>
        <v>416190.85</v>
      </c>
      <c r="J36" s="21">
        <f t="shared" si="3"/>
        <v>243910.85</v>
      </c>
      <c r="K36" s="21">
        <f t="shared" si="3"/>
        <v>816929.75</v>
      </c>
      <c r="L36" s="21">
        <f t="shared" si="3"/>
        <v>835927.7</v>
      </c>
      <c r="M36" s="21">
        <f t="shared" si="3"/>
        <v>169420.1</v>
      </c>
      <c r="N36" s="21">
        <f t="shared" si="3"/>
        <v>660493.19999999995</v>
      </c>
      <c r="O36" s="21">
        <f t="shared" si="3"/>
        <v>1198299.0500000003</v>
      </c>
      <c r="P36" s="21">
        <f t="shared" si="3"/>
        <v>806391.60000000009</v>
      </c>
      <c r="Q36" s="21">
        <f t="shared" si="3"/>
        <v>585598.69999999995</v>
      </c>
      <c r="R36" s="21">
        <f t="shared" si="3"/>
        <v>789865.1</v>
      </c>
      <c r="S36" s="21">
        <f t="shared" si="3"/>
        <v>574649.94999999995</v>
      </c>
      <c r="T36" s="21">
        <f t="shared" si="3"/>
        <v>1530308.45</v>
      </c>
      <c r="U36" s="21">
        <f t="shared" si="3"/>
        <v>1038561.4</v>
      </c>
      <c r="V36" s="21">
        <f t="shared" si="3"/>
        <v>1204863.1000000001</v>
      </c>
      <c r="W36" s="21">
        <f t="shared" si="3"/>
        <v>674842.6</v>
      </c>
      <c r="X36" s="21">
        <f t="shared" si="3"/>
        <v>647898.19999999995</v>
      </c>
      <c r="Y36" s="21">
        <f t="shared" si="3"/>
        <v>512463.1</v>
      </c>
      <c r="Z36" s="21">
        <f t="shared" si="3"/>
        <v>361625.45</v>
      </c>
      <c r="AA36" s="10">
        <f>SUM(B36:Z36)</f>
        <v>15208514.649999997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T11" sqref="T11"/>
    </sheetView>
  </sheetViews>
  <sheetFormatPr defaultRowHeight="15" x14ac:dyDescent="0.25"/>
  <cols>
    <col min="1" max="1" width="12.42578125" style="12" customWidth="1"/>
    <col min="2" max="6" width="10.42578125" style="12" bestFit="1" customWidth="1"/>
    <col min="7" max="7" width="10.42578125" style="12" hidden="1" customWidth="1"/>
    <col min="8" max="13" width="10.42578125" style="12" bestFit="1" customWidth="1"/>
    <col min="14" max="14" width="10.42578125" style="12" hidden="1" customWidth="1"/>
    <col min="15" max="16" width="10.42578125" style="12" bestFit="1" customWidth="1"/>
    <col min="17" max="17" width="12.42578125" style="12" customWidth="1"/>
    <col min="18" max="18" width="11.7109375" style="12" customWidth="1"/>
    <col min="19" max="19" width="11.42578125" style="12" customWidth="1"/>
    <col min="20" max="20" width="13.42578125" style="12" customWidth="1"/>
    <col min="21" max="16384" width="9.140625" style="12"/>
  </cols>
  <sheetData>
    <row r="1" spans="1:20" x14ac:dyDescent="0.25">
      <c r="A1" s="12" t="s">
        <v>0</v>
      </c>
      <c r="B1" s="13">
        <v>45839</v>
      </c>
      <c r="C1" s="13">
        <v>45840</v>
      </c>
      <c r="D1" s="13">
        <v>45841</v>
      </c>
      <c r="E1" s="13">
        <v>45842</v>
      </c>
      <c r="F1" s="13">
        <v>45843</v>
      </c>
      <c r="G1" s="13">
        <v>45844</v>
      </c>
      <c r="H1" s="13">
        <v>45845</v>
      </c>
      <c r="I1" s="13">
        <v>45846</v>
      </c>
      <c r="J1" s="13">
        <v>45847</v>
      </c>
      <c r="K1" s="13">
        <v>45848</v>
      </c>
      <c r="L1" s="13">
        <v>45849</v>
      </c>
      <c r="M1" s="13">
        <v>45850</v>
      </c>
      <c r="N1" s="13">
        <v>45851</v>
      </c>
      <c r="O1" s="13">
        <v>45852</v>
      </c>
      <c r="P1" s="13">
        <v>45853</v>
      </c>
      <c r="Q1" s="12" t="s">
        <v>1</v>
      </c>
      <c r="R1" s="12" t="s">
        <v>2</v>
      </c>
      <c r="S1" s="12" t="s">
        <v>3</v>
      </c>
      <c r="T1" s="12" t="s">
        <v>4</v>
      </c>
    </row>
    <row r="2" spans="1:20" x14ac:dyDescent="0.25">
      <c r="A2" s="13">
        <v>45765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21">
        <f>SUM(B2:P2)</f>
        <v>0</v>
      </c>
      <c r="R2" s="22">
        <v>23000</v>
      </c>
      <c r="T2" s="31">
        <f>R2-Q2</f>
        <v>23000</v>
      </c>
    </row>
    <row r="3" spans="1:20" x14ac:dyDescent="0.25">
      <c r="A3" s="13">
        <v>45796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21">
        <f t="shared" ref="Q3:Q5" si="0">SUM(B3:P3)</f>
        <v>0</v>
      </c>
      <c r="R3" s="20">
        <v>14332</v>
      </c>
      <c r="T3" s="28">
        <f>'Onion May'!AK21</f>
        <v>3627</v>
      </c>
    </row>
    <row r="4" spans="1:20" x14ac:dyDescent="0.25">
      <c r="A4" s="13">
        <v>45804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21">
        <f t="shared" si="0"/>
        <v>0</v>
      </c>
      <c r="R4" s="20">
        <v>834.15</v>
      </c>
      <c r="T4" s="31">
        <f t="shared" ref="T4:T10" si="1">R4-Q4</f>
        <v>834.15</v>
      </c>
    </row>
    <row r="5" spans="1:20" x14ac:dyDescent="0.25">
      <c r="A5" s="13">
        <v>45812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21">
        <f t="shared" si="0"/>
        <v>0</v>
      </c>
      <c r="R5" s="20">
        <v>731.4</v>
      </c>
      <c r="T5" s="31">
        <f t="shared" si="1"/>
        <v>731.4</v>
      </c>
    </row>
    <row r="6" spans="1:20" x14ac:dyDescent="0.25">
      <c r="A6" s="30">
        <v>45813</v>
      </c>
      <c r="B6" s="13"/>
      <c r="C6" s="13"/>
      <c r="D6" s="13"/>
      <c r="E6" s="13"/>
      <c r="F6" s="13"/>
      <c r="G6" s="13"/>
      <c r="H6" s="13"/>
      <c r="I6" s="4">
        <v>55185</v>
      </c>
      <c r="J6" s="13"/>
      <c r="K6" s="13"/>
      <c r="L6" s="13"/>
      <c r="M6" s="13"/>
      <c r="N6" s="13"/>
      <c r="O6" s="13"/>
      <c r="P6" s="13"/>
      <c r="Q6" s="21">
        <f>SUM(B6:P6)</f>
        <v>55185</v>
      </c>
      <c r="R6" s="21">
        <f>'Onion June'!AD14</f>
        <v>55184.999999999971</v>
      </c>
      <c r="T6" s="21">
        <f t="shared" si="1"/>
        <v>0</v>
      </c>
    </row>
    <row r="7" spans="1:20" x14ac:dyDescent="0.25">
      <c r="A7" s="30">
        <v>45831</v>
      </c>
      <c r="B7" s="25">
        <v>44099.55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21">
        <f t="shared" ref="Q7:Q22" si="2">SUM(B7:P7)</f>
        <v>44099.55</v>
      </c>
      <c r="R7" s="20">
        <v>44099.55</v>
      </c>
      <c r="T7" s="26">
        <f t="shared" si="1"/>
        <v>0</v>
      </c>
    </row>
    <row r="8" spans="1:20" x14ac:dyDescent="0.25">
      <c r="A8" s="30">
        <v>45834</v>
      </c>
      <c r="B8" s="8"/>
      <c r="C8" s="13"/>
      <c r="D8" s="21">
        <v>8112.8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21">
        <f t="shared" si="2"/>
        <v>8112.8</v>
      </c>
      <c r="R8" s="20">
        <v>8112.8</v>
      </c>
      <c r="T8" s="21">
        <f t="shared" si="1"/>
        <v>0</v>
      </c>
    </row>
    <row r="9" spans="1:20" x14ac:dyDescent="0.25">
      <c r="A9" s="30">
        <v>45836</v>
      </c>
      <c r="B9" s="8"/>
      <c r="C9" s="13"/>
      <c r="D9" s="21"/>
      <c r="E9" s="4">
        <v>29017.8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21">
        <f t="shared" si="2"/>
        <v>29017.8</v>
      </c>
      <c r="R9" s="20">
        <v>29017.8</v>
      </c>
      <c r="T9" s="21">
        <f t="shared" si="1"/>
        <v>0</v>
      </c>
    </row>
    <row r="10" spans="1:20" x14ac:dyDescent="0.25">
      <c r="A10" s="30">
        <v>45838</v>
      </c>
      <c r="B10" s="26">
        <v>118757.5</v>
      </c>
      <c r="C10" s="13"/>
      <c r="D10" s="13"/>
      <c r="E10" s="13"/>
      <c r="F10" s="13"/>
      <c r="G10" s="13"/>
      <c r="H10" s="13"/>
      <c r="I10" s="13"/>
      <c r="J10" s="13"/>
      <c r="K10" s="13"/>
      <c r="L10" s="4">
        <v>10860</v>
      </c>
      <c r="M10" s="13"/>
      <c r="N10" s="13"/>
      <c r="O10" s="13"/>
      <c r="P10" s="13"/>
      <c r="Q10" s="21">
        <f t="shared" si="2"/>
        <v>129617.5</v>
      </c>
      <c r="R10" s="20">
        <v>129617.5</v>
      </c>
      <c r="T10" s="26">
        <f t="shared" si="1"/>
        <v>0</v>
      </c>
    </row>
    <row r="11" spans="1:20" x14ac:dyDescent="0.25">
      <c r="A11" s="13">
        <v>45839</v>
      </c>
      <c r="B11" s="16">
        <v>440738.35</v>
      </c>
      <c r="C11" s="12">
        <v>31278.2</v>
      </c>
      <c r="D11" s="4">
        <v>26180</v>
      </c>
      <c r="Q11" s="21">
        <f t="shared" si="2"/>
        <v>498196.55</v>
      </c>
      <c r="S11" s="12">
        <v>498196.55</v>
      </c>
      <c r="T11" s="21">
        <f>S11-Q11</f>
        <v>0</v>
      </c>
    </row>
    <row r="12" spans="1:20" x14ac:dyDescent="0.25">
      <c r="A12" s="13">
        <v>45840</v>
      </c>
      <c r="C12" s="12">
        <v>484535.55</v>
      </c>
      <c r="D12" s="4">
        <v>45586.8</v>
      </c>
      <c r="K12" s="4">
        <v>25380</v>
      </c>
      <c r="Q12" s="21">
        <f t="shared" si="2"/>
        <v>555502.35</v>
      </c>
      <c r="S12" s="12">
        <v>555502.35</v>
      </c>
      <c r="T12" s="21">
        <f t="shared" ref="T12:T22" si="3">S12-Q12</f>
        <v>0</v>
      </c>
    </row>
    <row r="13" spans="1:20" x14ac:dyDescent="0.25">
      <c r="A13" s="13">
        <v>45841</v>
      </c>
      <c r="D13" s="12">
        <v>636730.15</v>
      </c>
      <c r="E13" s="12">
        <v>86429.85</v>
      </c>
      <c r="K13" s="4">
        <v>25020</v>
      </c>
      <c r="Q13" s="21">
        <f t="shared" si="2"/>
        <v>748180</v>
      </c>
      <c r="S13" s="12">
        <v>748180</v>
      </c>
      <c r="T13" s="21">
        <f t="shared" si="3"/>
        <v>0</v>
      </c>
    </row>
    <row r="14" spans="1:20" x14ac:dyDescent="0.25">
      <c r="A14" s="13">
        <v>45842</v>
      </c>
      <c r="E14" s="12">
        <v>490839.7</v>
      </c>
      <c r="F14" s="4">
        <v>16110</v>
      </c>
      <c r="H14" s="12">
        <v>42164.1</v>
      </c>
      <c r="Q14" s="21">
        <f t="shared" si="2"/>
        <v>549113.80000000005</v>
      </c>
      <c r="S14" s="20">
        <v>549113.80000000005</v>
      </c>
      <c r="T14" s="21">
        <f t="shared" si="3"/>
        <v>0</v>
      </c>
    </row>
    <row r="15" spans="1:20" x14ac:dyDescent="0.25">
      <c r="A15" s="13">
        <v>45843</v>
      </c>
      <c r="F15" s="18">
        <v>316840</v>
      </c>
      <c r="Q15" s="21">
        <f t="shared" si="2"/>
        <v>316840</v>
      </c>
      <c r="S15" s="20">
        <v>316840</v>
      </c>
      <c r="T15" s="21">
        <f t="shared" si="3"/>
        <v>0</v>
      </c>
    </row>
    <row r="16" spans="1:20" x14ac:dyDescent="0.25">
      <c r="A16" s="13">
        <v>45845</v>
      </c>
      <c r="H16" s="12">
        <v>166469.20000000001</v>
      </c>
      <c r="K16" s="4">
        <v>20960</v>
      </c>
      <c r="Q16" s="21">
        <f t="shared" si="2"/>
        <v>187429.2</v>
      </c>
      <c r="S16" s="20">
        <v>187429.2</v>
      </c>
      <c r="T16" s="21">
        <f t="shared" si="3"/>
        <v>0</v>
      </c>
    </row>
    <row r="17" spans="1:20" x14ac:dyDescent="0.25">
      <c r="A17" s="13">
        <v>45846</v>
      </c>
      <c r="I17" s="12">
        <v>344501.3</v>
      </c>
      <c r="J17" s="4">
        <v>7548.7</v>
      </c>
      <c r="L17" s="4">
        <v>15842.4</v>
      </c>
      <c r="Q17" s="21">
        <f t="shared" si="2"/>
        <v>367892.4</v>
      </c>
      <c r="S17" s="20">
        <v>367892.4</v>
      </c>
      <c r="T17" s="21">
        <f t="shared" si="3"/>
        <v>0</v>
      </c>
    </row>
    <row r="18" spans="1:20" x14ac:dyDescent="0.25">
      <c r="A18" s="13">
        <v>45847</v>
      </c>
      <c r="J18" s="12">
        <v>180606.75</v>
      </c>
      <c r="L18" s="12">
        <v>38732.1</v>
      </c>
      <c r="Q18" s="21">
        <f t="shared" si="2"/>
        <v>219338.85</v>
      </c>
      <c r="S18" s="20">
        <v>219338.85</v>
      </c>
      <c r="T18" s="21">
        <f t="shared" si="3"/>
        <v>0</v>
      </c>
    </row>
    <row r="19" spans="1:20" x14ac:dyDescent="0.25">
      <c r="A19" s="13">
        <v>45849</v>
      </c>
      <c r="L19" s="12">
        <v>572878.9</v>
      </c>
      <c r="M19" s="12">
        <v>77714.8</v>
      </c>
      <c r="O19" s="4">
        <v>27904.5</v>
      </c>
      <c r="Q19" s="21">
        <f t="shared" si="2"/>
        <v>678498.20000000007</v>
      </c>
      <c r="S19" s="20">
        <v>678498.2</v>
      </c>
      <c r="T19" s="21">
        <f t="shared" si="3"/>
        <v>0</v>
      </c>
    </row>
    <row r="20" spans="1:20" x14ac:dyDescent="0.25">
      <c r="A20" s="13">
        <v>45850</v>
      </c>
      <c r="M20" s="12">
        <v>157467.35</v>
      </c>
      <c r="Q20" s="21">
        <f t="shared" si="2"/>
        <v>157467.35</v>
      </c>
      <c r="S20" s="20">
        <v>157467.35</v>
      </c>
      <c r="T20" s="21">
        <f t="shared" si="3"/>
        <v>0</v>
      </c>
    </row>
    <row r="21" spans="1:20" x14ac:dyDescent="0.25">
      <c r="A21" s="13">
        <v>45852</v>
      </c>
      <c r="O21" s="12">
        <v>382403.35</v>
      </c>
      <c r="P21" s="4">
        <v>8861.7999999999993</v>
      </c>
      <c r="Q21" s="21">
        <f t="shared" si="2"/>
        <v>391265.14999999997</v>
      </c>
      <c r="S21" s="20">
        <v>391265.15</v>
      </c>
      <c r="T21" s="21">
        <f t="shared" si="3"/>
        <v>0</v>
      </c>
    </row>
    <row r="22" spans="1:20" x14ac:dyDescent="0.25">
      <c r="A22" s="13">
        <v>45853</v>
      </c>
      <c r="P22" s="12">
        <v>452915.65</v>
      </c>
      <c r="Q22" s="21">
        <f t="shared" si="2"/>
        <v>452915.65</v>
      </c>
      <c r="S22" s="20">
        <v>549115.05000000005</v>
      </c>
      <c r="T22" s="26">
        <f t="shared" si="3"/>
        <v>96199.400000000023</v>
      </c>
    </row>
    <row r="23" spans="1:20" x14ac:dyDescent="0.25">
      <c r="A23" s="12" t="s">
        <v>1</v>
      </c>
      <c r="B23" s="21">
        <f>SUM(B6:B22)</f>
        <v>603595.39999999991</v>
      </c>
      <c r="C23" s="21">
        <f t="shared" ref="C23:P23" si="4">SUM(C6:C22)</f>
        <v>515813.75</v>
      </c>
      <c r="D23" s="21">
        <f t="shared" si="4"/>
        <v>716609.75</v>
      </c>
      <c r="E23" s="21">
        <f t="shared" si="4"/>
        <v>606287.35</v>
      </c>
      <c r="F23" s="21">
        <f t="shared" si="4"/>
        <v>332950</v>
      </c>
      <c r="G23" s="21">
        <f t="shared" si="4"/>
        <v>0</v>
      </c>
      <c r="H23" s="21">
        <f t="shared" si="4"/>
        <v>208633.30000000002</v>
      </c>
      <c r="I23" s="21">
        <f t="shared" si="4"/>
        <v>399686.3</v>
      </c>
      <c r="J23" s="21">
        <f t="shared" si="4"/>
        <v>188155.45</v>
      </c>
      <c r="K23" s="21">
        <f t="shared" si="4"/>
        <v>71360</v>
      </c>
      <c r="L23" s="21">
        <f t="shared" si="4"/>
        <v>638313.4</v>
      </c>
      <c r="M23" s="21">
        <f t="shared" si="4"/>
        <v>235182.15000000002</v>
      </c>
      <c r="N23" s="21">
        <f t="shared" si="4"/>
        <v>0</v>
      </c>
      <c r="O23" s="21">
        <f t="shared" si="4"/>
        <v>410307.85</v>
      </c>
      <c r="P23" s="21">
        <f t="shared" si="4"/>
        <v>461777.45</v>
      </c>
    </row>
  </sheetData>
  <pageMargins left="0.7" right="0.7" top="0.75" bottom="0.75" header="0.3" footer="0.3"/>
  <pageSetup paperSize="9" orientation="portrait" horizontalDpi="0" verticalDpi="0" r:id="rId1"/>
  <ignoredErrors>
    <ignoredError sqref="T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2" width="10.42578125" bestFit="1" customWidth="1"/>
    <col min="3" max="3" width="11.7109375" customWidth="1"/>
    <col min="4" max="4" width="10.42578125" bestFit="1" customWidth="1"/>
    <col min="5" max="5" width="10.42578125" customWidth="1"/>
    <col min="6" max="6" width="10.42578125" bestFit="1" customWidth="1"/>
    <col min="7" max="7" width="10.42578125" customWidth="1"/>
    <col min="8" max="33" width="10.42578125" bestFit="1" customWidth="1"/>
    <col min="37" max="37" width="11.85546875" bestFit="1" customWidth="1"/>
  </cols>
  <sheetData>
    <row r="1" spans="1:37" x14ac:dyDescent="0.25">
      <c r="A1" t="s">
        <v>0</v>
      </c>
      <c r="B1" s="1">
        <v>45932</v>
      </c>
      <c r="C1" s="1" t="s">
        <v>5</v>
      </c>
      <c r="D1" s="1">
        <v>45933</v>
      </c>
      <c r="E1" s="1" t="s">
        <v>5</v>
      </c>
      <c r="F1" s="1">
        <v>45934</v>
      </c>
      <c r="G1" s="1" t="s">
        <v>5</v>
      </c>
      <c r="H1" s="1">
        <v>45935</v>
      </c>
      <c r="I1" s="1">
        <v>45936</v>
      </c>
      <c r="J1" s="1">
        <v>45937</v>
      </c>
      <c r="K1" s="1">
        <v>45938</v>
      </c>
      <c r="L1" s="1">
        <v>45939</v>
      </c>
      <c r="M1" s="1">
        <v>45940</v>
      </c>
      <c r="N1" s="1">
        <v>45941</v>
      </c>
      <c r="O1" s="1">
        <v>45943</v>
      </c>
      <c r="P1" s="1">
        <v>45944</v>
      </c>
      <c r="Q1" s="1">
        <v>45945</v>
      </c>
      <c r="R1" s="1">
        <v>45946</v>
      </c>
      <c r="S1" s="1">
        <v>45947</v>
      </c>
      <c r="T1" s="1">
        <v>45948</v>
      </c>
      <c r="U1" s="1">
        <v>45949</v>
      </c>
      <c r="V1" s="1">
        <v>45950</v>
      </c>
      <c r="W1" s="1">
        <v>45951</v>
      </c>
      <c r="X1" s="1">
        <v>45952</v>
      </c>
      <c r="Y1" s="1">
        <v>45953</v>
      </c>
      <c r="Z1" s="1">
        <v>45954</v>
      </c>
      <c r="AA1" s="1">
        <v>45955</v>
      </c>
      <c r="AB1" s="1">
        <v>45956</v>
      </c>
      <c r="AC1" s="1">
        <v>45957</v>
      </c>
      <c r="AD1" s="1">
        <v>45958</v>
      </c>
      <c r="AE1" s="1">
        <v>45959</v>
      </c>
      <c r="AF1" s="1">
        <v>45960</v>
      </c>
      <c r="AG1" s="1">
        <v>45961</v>
      </c>
      <c r="AH1" t="s">
        <v>1</v>
      </c>
      <c r="AI1" s="12" t="s">
        <v>2</v>
      </c>
      <c r="AJ1" s="12" t="s">
        <v>3</v>
      </c>
      <c r="AK1" s="12" t="s">
        <v>4</v>
      </c>
    </row>
    <row r="2" spans="1:37" x14ac:dyDescent="0.25">
      <c r="A2" s="1">
        <v>45932</v>
      </c>
      <c r="B2" s="18">
        <f>881.2-10.15</f>
        <v>871.05000000000007</v>
      </c>
      <c r="C2" s="32"/>
      <c r="D2">
        <v>128.75</v>
      </c>
      <c r="E2" s="32"/>
      <c r="G2" s="32"/>
      <c r="AH2">
        <f t="shared" ref="AH2:AH31" si="0">SUM(B2:AG2)</f>
        <v>999.80000000000007</v>
      </c>
      <c r="AJ2">
        <v>1015</v>
      </c>
      <c r="AK2">
        <f>AJ2-AH2</f>
        <v>15.199999999999932</v>
      </c>
    </row>
    <row r="3" spans="1:37" x14ac:dyDescent="0.25">
      <c r="A3" s="1">
        <v>45933</v>
      </c>
      <c r="D3">
        <v>185.75</v>
      </c>
      <c r="F3" s="18">
        <v>36.5</v>
      </c>
      <c r="G3" s="18"/>
      <c r="AH3">
        <f t="shared" si="0"/>
        <v>222.25</v>
      </c>
      <c r="AJ3">
        <v>266.85000000000002</v>
      </c>
      <c r="AK3">
        <f>AJ3-AH3</f>
        <v>44.600000000000023</v>
      </c>
    </row>
    <row r="4" spans="1:37" x14ac:dyDescent="0.25">
      <c r="A4" s="1">
        <v>45934</v>
      </c>
      <c r="F4" s="18">
        <v>485.54999999999995</v>
      </c>
      <c r="G4" s="18"/>
      <c r="AH4">
        <f t="shared" si="0"/>
        <v>485.54999999999995</v>
      </c>
      <c r="AJ4">
        <v>485.55</v>
      </c>
      <c r="AK4">
        <f>AJ4-AH4</f>
        <v>0</v>
      </c>
    </row>
    <row r="5" spans="1:37" x14ac:dyDescent="0.25">
      <c r="A5" s="1">
        <v>45935</v>
      </c>
      <c r="AH5">
        <f t="shared" si="0"/>
        <v>0</v>
      </c>
      <c r="AK5">
        <f t="shared" ref="AK5:AK31" si="1">AJ5-AH5</f>
        <v>0</v>
      </c>
    </row>
    <row r="6" spans="1:37" x14ac:dyDescent="0.25">
      <c r="A6" s="1">
        <v>45936</v>
      </c>
      <c r="AH6">
        <f t="shared" si="0"/>
        <v>0</v>
      </c>
      <c r="AK6">
        <f t="shared" si="1"/>
        <v>0</v>
      </c>
    </row>
    <row r="7" spans="1:37" x14ac:dyDescent="0.25">
      <c r="A7" s="1">
        <v>45937</v>
      </c>
      <c r="AH7">
        <f t="shared" si="0"/>
        <v>0</v>
      </c>
      <c r="AK7">
        <f t="shared" si="1"/>
        <v>0</v>
      </c>
    </row>
    <row r="8" spans="1:37" x14ac:dyDescent="0.25">
      <c r="A8" s="1">
        <v>45938</v>
      </c>
      <c r="AH8">
        <f t="shared" si="0"/>
        <v>0</v>
      </c>
      <c r="AK8">
        <f t="shared" si="1"/>
        <v>0</v>
      </c>
    </row>
    <row r="9" spans="1:37" x14ac:dyDescent="0.25">
      <c r="A9" s="1">
        <v>45939</v>
      </c>
      <c r="P9" s="18">
        <v>26.05</v>
      </c>
      <c r="AH9">
        <f t="shared" si="0"/>
        <v>26.05</v>
      </c>
      <c r="AJ9">
        <v>26.05</v>
      </c>
      <c r="AK9">
        <f t="shared" si="1"/>
        <v>0</v>
      </c>
    </row>
    <row r="10" spans="1:37" x14ac:dyDescent="0.25">
      <c r="A10" s="1">
        <v>45940</v>
      </c>
      <c r="N10">
        <v>2986.9</v>
      </c>
      <c r="P10" s="18">
        <v>89</v>
      </c>
      <c r="AH10">
        <f t="shared" si="0"/>
        <v>3075.9</v>
      </c>
      <c r="AJ10">
        <v>3110.45</v>
      </c>
      <c r="AK10" s="11">
        <f t="shared" si="1"/>
        <v>34.549999999999727</v>
      </c>
    </row>
    <row r="11" spans="1:37" x14ac:dyDescent="0.25">
      <c r="A11" s="1">
        <v>45941</v>
      </c>
      <c r="N11">
        <v>1778.05</v>
      </c>
      <c r="P11" s="18">
        <v>25.5</v>
      </c>
      <c r="AH11">
        <f t="shared" si="0"/>
        <v>1803.55</v>
      </c>
      <c r="AJ11">
        <v>1933.5</v>
      </c>
      <c r="AK11" s="11">
        <f t="shared" si="1"/>
        <v>129.95000000000005</v>
      </c>
    </row>
    <row r="12" spans="1:37" x14ac:dyDescent="0.25">
      <c r="A12" s="1">
        <v>45943</v>
      </c>
      <c r="O12" s="11">
        <v>4246.45</v>
      </c>
      <c r="P12" s="18">
        <f>1228.35+16.3</f>
        <v>1244.6499999999999</v>
      </c>
      <c r="AH12">
        <f t="shared" si="0"/>
        <v>5491.0999999999995</v>
      </c>
      <c r="AJ12">
        <v>5812.6</v>
      </c>
      <c r="AK12" s="34">
        <f t="shared" si="1"/>
        <v>321.50000000000091</v>
      </c>
    </row>
    <row r="13" spans="1:37" x14ac:dyDescent="0.25">
      <c r="A13" s="1">
        <v>45944</v>
      </c>
      <c r="P13" s="18">
        <f>4966.25+14.1</f>
        <v>4980.3500000000004</v>
      </c>
      <c r="AH13">
        <f t="shared" si="0"/>
        <v>4980.3500000000004</v>
      </c>
      <c r="AJ13">
        <v>5979.85</v>
      </c>
      <c r="AK13" s="34">
        <f t="shared" si="1"/>
        <v>999.5</v>
      </c>
    </row>
    <row r="14" spans="1:37" x14ac:dyDescent="0.25">
      <c r="A14" s="1">
        <v>45945</v>
      </c>
      <c r="AH14">
        <f t="shared" si="0"/>
        <v>0</v>
      </c>
      <c r="AK14">
        <f t="shared" si="1"/>
        <v>0</v>
      </c>
    </row>
    <row r="15" spans="1:37" x14ac:dyDescent="0.25">
      <c r="A15" s="1">
        <v>45946</v>
      </c>
      <c r="AH15">
        <f t="shared" si="0"/>
        <v>0</v>
      </c>
      <c r="AK15">
        <f t="shared" si="1"/>
        <v>0</v>
      </c>
    </row>
    <row r="16" spans="1:37" x14ac:dyDescent="0.25">
      <c r="A16" s="1">
        <v>45947</v>
      </c>
      <c r="AH16">
        <f t="shared" si="0"/>
        <v>0</v>
      </c>
      <c r="AK16">
        <f t="shared" si="1"/>
        <v>0</v>
      </c>
    </row>
    <row r="17" spans="1:37" x14ac:dyDescent="0.25">
      <c r="A17" s="1">
        <v>45948</v>
      </c>
      <c r="AH17">
        <f t="shared" si="0"/>
        <v>0</v>
      </c>
      <c r="AK17">
        <f t="shared" si="1"/>
        <v>0</v>
      </c>
    </row>
    <row r="18" spans="1:37" x14ac:dyDescent="0.25">
      <c r="A18" s="1">
        <v>45949</v>
      </c>
      <c r="AH18">
        <f t="shared" si="0"/>
        <v>0</v>
      </c>
      <c r="AK18">
        <f t="shared" si="1"/>
        <v>0</v>
      </c>
    </row>
    <row r="19" spans="1:37" x14ac:dyDescent="0.25">
      <c r="A19" s="1">
        <v>45950</v>
      </c>
      <c r="AH19">
        <f t="shared" si="0"/>
        <v>0</v>
      </c>
      <c r="AK19">
        <f t="shared" si="1"/>
        <v>0</v>
      </c>
    </row>
    <row r="20" spans="1:37" x14ac:dyDescent="0.25">
      <c r="A20" s="1">
        <v>45951</v>
      </c>
      <c r="AH20">
        <f t="shared" si="0"/>
        <v>0</v>
      </c>
      <c r="AK20">
        <f t="shared" si="1"/>
        <v>0</v>
      </c>
    </row>
    <row r="21" spans="1:37" x14ac:dyDescent="0.25">
      <c r="A21" s="1">
        <v>45952</v>
      </c>
      <c r="AH21">
        <f t="shared" si="0"/>
        <v>0</v>
      </c>
      <c r="AK21">
        <f t="shared" si="1"/>
        <v>0</v>
      </c>
    </row>
    <row r="22" spans="1:37" x14ac:dyDescent="0.25">
      <c r="A22" s="1">
        <v>45953</v>
      </c>
      <c r="AH22">
        <f t="shared" si="0"/>
        <v>0</v>
      </c>
      <c r="AK22">
        <f t="shared" si="1"/>
        <v>0</v>
      </c>
    </row>
    <row r="23" spans="1:37" x14ac:dyDescent="0.25">
      <c r="A23" s="1">
        <v>45954</v>
      </c>
      <c r="AH23">
        <f t="shared" si="0"/>
        <v>0</v>
      </c>
      <c r="AK23">
        <f t="shared" si="1"/>
        <v>0</v>
      </c>
    </row>
    <row r="24" spans="1:37" x14ac:dyDescent="0.25">
      <c r="A24" s="1">
        <v>45955</v>
      </c>
      <c r="AH24">
        <f t="shared" si="0"/>
        <v>0</v>
      </c>
      <c r="AK24">
        <f t="shared" si="1"/>
        <v>0</v>
      </c>
    </row>
    <row r="25" spans="1:37" x14ac:dyDescent="0.25">
      <c r="A25" s="1">
        <v>45956</v>
      </c>
      <c r="AH25">
        <f t="shared" si="0"/>
        <v>0</v>
      </c>
      <c r="AK25">
        <f t="shared" si="1"/>
        <v>0</v>
      </c>
    </row>
    <row r="26" spans="1:37" x14ac:dyDescent="0.25">
      <c r="A26" s="1">
        <v>45957</v>
      </c>
      <c r="AH26">
        <f t="shared" si="0"/>
        <v>0</v>
      </c>
      <c r="AK26">
        <f t="shared" si="1"/>
        <v>0</v>
      </c>
    </row>
    <row r="27" spans="1:37" x14ac:dyDescent="0.25">
      <c r="A27" s="1">
        <v>45958</v>
      </c>
      <c r="AH27">
        <f t="shared" si="0"/>
        <v>0</v>
      </c>
      <c r="AK27">
        <f t="shared" si="1"/>
        <v>0</v>
      </c>
    </row>
    <row r="28" spans="1:37" x14ac:dyDescent="0.25">
      <c r="A28" s="1">
        <v>45959</v>
      </c>
      <c r="AH28">
        <f t="shared" si="0"/>
        <v>0</v>
      </c>
      <c r="AK28">
        <f t="shared" si="1"/>
        <v>0</v>
      </c>
    </row>
    <row r="29" spans="1:37" x14ac:dyDescent="0.25">
      <c r="A29" s="1">
        <v>45960</v>
      </c>
      <c r="AH29">
        <f t="shared" si="0"/>
        <v>0</v>
      </c>
      <c r="AK29">
        <f t="shared" si="1"/>
        <v>0</v>
      </c>
    </row>
    <row r="30" spans="1:37" x14ac:dyDescent="0.25">
      <c r="A30" s="1">
        <v>45961</v>
      </c>
      <c r="AH30">
        <f t="shared" si="0"/>
        <v>0</v>
      </c>
      <c r="AK30">
        <f t="shared" si="1"/>
        <v>0</v>
      </c>
    </row>
    <row r="31" spans="1:37" x14ac:dyDescent="0.25">
      <c r="A31" t="s">
        <v>1</v>
      </c>
      <c r="B31">
        <f t="shared" ref="B31:G31" si="2">SUM(B2:B30)</f>
        <v>871.05000000000007</v>
      </c>
      <c r="C31">
        <f t="shared" si="2"/>
        <v>0</v>
      </c>
      <c r="D31">
        <f t="shared" si="2"/>
        <v>314.5</v>
      </c>
      <c r="E31">
        <f t="shared" si="2"/>
        <v>0</v>
      </c>
      <c r="F31">
        <f t="shared" si="2"/>
        <v>522.04999999999995</v>
      </c>
      <c r="G31">
        <f t="shared" si="2"/>
        <v>0</v>
      </c>
      <c r="H31">
        <f t="shared" ref="H31:AG31" si="3">SUM(H2:H30)</f>
        <v>0</v>
      </c>
      <c r="I31">
        <f t="shared" si="3"/>
        <v>0</v>
      </c>
      <c r="J31">
        <f t="shared" si="3"/>
        <v>0</v>
      </c>
      <c r="K31">
        <f t="shared" si="3"/>
        <v>0</v>
      </c>
      <c r="L31">
        <f t="shared" si="3"/>
        <v>0</v>
      </c>
      <c r="M31">
        <f t="shared" si="3"/>
        <v>0</v>
      </c>
      <c r="N31">
        <f t="shared" si="3"/>
        <v>4764.95</v>
      </c>
      <c r="O31">
        <f t="shared" si="3"/>
        <v>4246.45</v>
      </c>
      <c r="P31">
        <f t="shared" si="3"/>
        <v>6365.55</v>
      </c>
      <c r="Q31">
        <f t="shared" si="3"/>
        <v>0</v>
      </c>
      <c r="R31">
        <f t="shared" si="3"/>
        <v>0</v>
      </c>
      <c r="S31">
        <f t="shared" si="3"/>
        <v>0</v>
      </c>
      <c r="T31">
        <f t="shared" si="3"/>
        <v>0</v>
      </c>
      <c r="U31">
        <f t="shared" si="3"/>
        <v>0</v>
      </c>
      <c r="V31">
        <f t="shared" si="3"/>
        <v>0</v>
      </c>
      <c r="W31">
        <f t="shared" si="3"/>
        <v>0</v>
      </c>
      <c r="X31">
        <f t="shared" si="3"/>
        <v>0</v>
      </c>
      <c r="Y31">
        <f t="shared" si="3"/>
        <v>0</v>
      </c>
      <c r="Z31">
        <f t="shared" si="3"/>
        <v>0</v>
      </c>
      <c r="AA31">
        <f t="shared" si="3"/>
        <v>0</v>
      </c>
      <c r="AB31">
        <f t="shared" si="3"/>
        <v>0</v>
      </c>
      <c r="AC31">
        <f t="shared" si="3"/>
        <v>0</v>
      </c>
      <c r="AD31">
        <f t="shared" si="3"/>
        <v>0</v>
      </c>
      <c r="AE31">
        <f t="shared" si="3"/>
        <v>0</v>
      </c>
      <c r="AF31">
        <f t="shared" si="3"/>
        <v>0</v>
      </c>
      <c r="AG31">
        <f t="shared" si="3"/>
        <v>0</v>
      </c>
      <c r="AH31">
        <f t="shared" si="0"/>
        <v>17084.55</v>
      </c>
      <c r="AK31">
        <f t="shared" si="1"/>
        <v>-17084.55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2:G15"/>
  <sheetViews>
    <sheetView workbookViewId="0">
      <selection activeCell="O19" sqref="O19"/>
    </sheetView>
  </sheetViews>
  <sheetFormatPr defaultRowHeight="15" x14ac:dyDescent="0.25"/>
  <cols>
    <col min="5" max="5" width="15.140625" bestFit="1" customWidth="1"/>
    <col min="7" max="7" width="12.5703125" bestFit="1" customWidth="1"/>
  </cols>
  <sheetData>
    <row r="12" spans="5:7" x14ac:dyDescent="0.25">
      <c r="F12" t="s">
        <v>7</v>
      </c>
      <c r="G12" t="s">
        <v>8</v>
      </c>
    </row>
    <row r="13" spans="5:7" x14ac:dyDescent="0.25">
      <c r="E13" t="s">
        <v>6</v>
      </c>
      <c r="F13">
        <v>2722</v>
      </c>
      <c r="G13" s="32">
        <v>4870885.8099999996</v>
      </c>
    </row>
    <row r="14" spans="5:7" x14ac:dyDescent="0.25">
      <c r="E14" t="s">
        <v>9</v>
      </c>
      <c r="F14">
        <f>2246.95+34.55+66.35+97.3+276.85</f>
        <v>2722</v>
      </c>
      <c r="G14" s="32">
        <f>3986845.26+54250.8+132621.41+177476.35+520066.95</f>
        <v>4871260.7699999996</v>
      </c>
    </row>
    <row r="15" spans="5:7" x14ac:dyDescent="0.25">
      <c r="F15">
        <f>F13-F14</f>
        <v>0</v>
      </c>
      <c r="G15">
        <f>G13-G14</f>
        <v>-374.95999999996275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AF1" sqref="AF1:AH31"/>
    </sheetView>
  </sheetViews>
  <sheetFormatPr defaultRowHeight="15" x14ac:dyDescent="0.25"/>
  <cols>
    <col min="1" max="1" width="10.42578125" bestFit="1" customWidth="1"/>
    <col min="2" max="9" width="11" bestFit="1" customWidth="1"/>
    <col min="10" max="11" width="12.5703125" bestFit="1" customWidth="1"/>
    <col min="12" max="12" width="11" bestFit="1" customWidth="1"/>
    <col min="13" max="14" width="12.85546875" bestFit="1" customWidth="1"/>
    <col min="15" max="30" width="11" bestFit="1" customWidth="1"/>
    <col min="31" max="31" width="14" bestFit="1" customWidth="1"/>
    <col min="33" max="33" width="13.7109375" bestFit="1" customWidth="1"/>
    <col min="34" max="34" width="14.7109375" bestFit="1" customWidth="1"/>
  </cols>
  <sheetData>
    <row r="1" spans="1:34" x14ac:dyDescent="0.25">
      <c r="A1" t="s">
        <v>0</v>
      </c>
      <c r="B1" s="1">
        <v>45932</v>
      </c>
      <c r="C1" s="1">
        <v>45933</v>
      </c>
      <c r="D1" s="1">
        <v>45934</v>
      </c>
      <c r="E1" s="1">
        <v>45935</v>
      </c>
      <c r="F1" s="1">
        <v>45936</v>
      </c>
      <c r="G1" s="1">
        <v>45937</v>
      </c>
      <c r="H1" s="1">
        <v>45938</v>
      </c>
      <c r="I1" s="1">
        <v>45939</v>
      </c>
      <c r="J1" s="1">
        <v>45940</v>
      </c>
      <c r="K1" s="1">
        <v>45941</v>
      </c>
      <c r="L1" s="1">
        <v>45943</v>
      </c>
      <c r="M1" s="1">
        <v>45944</v>
      </c>
      <c r="N1" s="1">
        <v>45945</v>
      </c>
      <c r="O1" s="1">
        <v>45946</v>
      </c>
      <c r="P1" s="1">
        <v>45947</v>
      </c>
      <c r="Q1" s="1">
        <v>45948</v>
      </c>
      <c r="R1" s="1">
        <v>45949</v>
      </c>
      <c r="S1" s="1">
        <v>45950</v>
      </c>
      <c r="T1" s="1">
        <v>45951</v>
      </c>
      <c r="U1" s="1">
        <v>45952</v>
      </c>
      <c r="V1" s="1">
        <v>45953</v>
      </c>
      <c r="W1" s="1">
        <v>45954</v>
      </c>
      <c r="X1" s="1">
        <v>45955</v>
      </c>
      <c r="Y1" s="1">
        <v>45956</v>
      </c>
      <c r="Z1" s="1">
        <v>45957</v>
      </c>
      <c r="AA1" s="1">
        <v>45958</v>
      </c>
      <c r="AB1" s="1">
        <v>45959</v>
      </c>
      <c r="AC1" s="1">
        <v>45960</v>
      </c>
      <c r="AD1" s="1">
        <v>45961</v>
      </c>
      <c r="AE1" t="s">
        <v>1</v>
      </c>
      <c r="AF1" s="12" t="s">
        <v>2</v>
      </c>
      <c r="AG1" s="12" t="s">
        <v>3</v>
      </c>
      <c r="AH1" s="12" t="s">
        <v>4</v>
      </c>
    </row>
    <row r="2" spans="1:34" x14ac:dyDescent="0.25">
      <c r="A2" s="1">
        <v>45932</v>
      </c>
      <c r="B2" s="32">
        <f>881.2-10.15</f>
        <v>871.05000000000007</v>
      </c>
      <c r="C2" s="32">
        <v>128.75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>
        <f t="shared" ref="AE2:AE31" si="0">SUM(B2:AD2)</f>
        <v>999.80000000000007</v>
      </c>
      <c r="AF2" s="32"/>
      <c r="AG2" s="32">
        <v>1015</v>
      </c>
      <c r="AH2" s="32">
        <f>AG2-AE2</f>
        <v>15.199999999999932</v>
      </c>
    </row>
    <row r="3" spans="1:34" x14ac:dyDescent="0.25">
      <c r="A3" s="1">
        <v>45933</v>
      </c>
      <c r="B3" s="32"/>
      <c r="C3" s="32">
        <v>185.75</v>
      </c>
      <c r="D3" s="32">
        <v>36.5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>
        <f t="shared" si="0"/>
        <v>222.25</v>
      </c>
      <c r="AF3" s="32"/>
      <c r="AG3" s="32">
        <v>266.85000000000002</v>
      </c>
      <c r="AH3" s="32">
        <f>AG3-AE3</f>
        <v>44.600000000000023</v>
      </c>
    </row>
    <row r="4" spans="1:34" x14ac:dyDescent="0.25">
      <c r="A4" s="1">
        <v>45934</v>
      </c>
      <c r="B4" s="32"/>
      <c r="C4" s="32"/>
      <c r="D4" s="32">
        <v>485.54999999999995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>
        <f t="shared" si="0"/>
        <v>485.54999999999995</v>
      </c>
      <c r="AF4" s="32"/>
      <c r="AG4" s="32">
        <v>485.55</v>
      </c>
      <c r="AH4" s="32">
        <f>AG4-AE4</f>
        <v>0</v>
      </c>
    </row>
    <row r="5" spans="1:34" x14ac:dyDescent="0.25">
      <c r="A5" s="1">
        <v>45935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>
        <f t="shared" si="0"/>
        <v>0</v>
      </c>
      <c r="AF5" s="32"/>
      <c r="AG5" s="32"/>
      <c r="AH5" s="32">
        <f t="shared" ref="AH5:AH31" si="1">AG5-AE5</f>
        <v>0</v>
      </c>
    </row>
    <row r="6" spans="1:34" x14ac:dyDescent="0.25">
      <c r="A6" s="1">
        <v>45936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18">
        <v>32674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>
        <f t="shared" si="0"/>
        <v>32674</v>
      </c>
      <c r="AF6" s="32"/>
      <c r="AG6" s="32"/>
      <c r="AH6" s="32">
        <f t="shared" si="1"/>
        <v>-32674</v>
      </c>
    </row>
    <row r="7" spans="1:34" x14ac:dyDescent="0.25">
      <c r="A7" s="1">
        <v>45937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18">
        <v>27990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>
        <f t="shared" si="0"/>
        <v>27990</v>
      </c>
      <c r="AF7" s="32"/>
      <c r="AG7" s="32"/>
      <c r="AH7" s="32">
        <f t="shared" si="1"/>
        <v>-27990</v>
      </c>
    </row>
    <row r="8" spans="1:34" x14ac:dyDescent="0.25">
      <c r="A8" s="1">
        <v>45938</v>
      </c>
      <c r="B8" s="32"/>
      <c r="C8" s="32"/>
      <c r="D8" s="32"/>
      <c r="E8" s="32"/>
      <c r="F8" s="32"/>
      <c r="G8" s="32"/>
      <c r="H8" s="32"/>
      <c r="I8" s="32"/>
      <c r="J8" s="32">
        <v>170883.6</v>
      </c>
      <c r="K8" s="32">
        <v>44109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>
        <f t="shared" si="0"/>
        <v>214992.6</v>
      </c>
      <c r="AF8" s="32"/>
      <c r="AG8" s="32"/>
      <c r="AH8" s="32">
        <f t="shared" si="1"/>
        <v>-214992.6</v>
      </c>
    </row>
    <row r="9" spans="1:34" x14ac:dyDescent="0.25">
      <c r="A9" s="1">
        <v>45939</v>
      </c>
      <c r="B9" s="32"/>
      <c r="C9" s="32"/>
      <c r="D9" s="32"/>
      <c r="E9" s="32"/>
      <c r="F9" s="32"/>
      <c r="G9" s="32"/>
      <c r="H9" s="32"/>
      <c r="I9" s="32"/>
      <c r="J9" s="32">
        <v>501207.95</v>
      </c>
      <c r="K9" s="32">
        <v>71653</v>
      </c>
      <c r="L9" s="18">
        <v>26938.400000000001</v>
      </c>
      <c r="M9" s="18">
        <v>46421.1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>
        <f t="shared" si="0"/>
        <v>646220.44999999995</v>
      </c>
      <c r="AF9" s="32"/>
      <c r="AG9" s="32">
        <v>26.05</v>
      </c>
      <c r="AH9" s="32">
        <f t="shared" si="1"/>
        <v>-646194.39999999991</v>
      </c>
    </row>
    <row r="10" spans="1:34" x14ac:dyDescent="0.25">
      <c r="A10" s="1">
        <v>45940</v>
      </c>
      <c r="B10" s="32"/>
      <c r="C10" s="32"/>
      <c r="D10" s="32"/>
      <c r="E10" s="32"/>
      <c r="F10" s="32"/>
      <c r="G10" s="32"/>
      <c r="H10" s="32"/>
      <c r="I10" s="32"/>
      <c r="J10" s="32">
        <v>4889298.5000000009</v>
      </c>
      <c r="K10" s="32">
        <v>478689.99999999994</v>
      </c>
      <c r="L10" s="18">
        <v>209633.35</v>
      </c>
      <c r="M10" s="18">
        <v>168738.7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>
        <f t="shared" si="0"/>
        <v>5746360.5500000007</v>
      </c>
      <c r="AF10" s="32"/>
      <c r="AG10" s="32">
        <v>5815545.5199999996</v>
      </c>
      <c r="AH10" s="33">
        <f t="shared" si="1"/>
        <v>69184.969999998808</v>
      </c>
    </row>
    <row r="11" spans="1:34" x14ac:dyDescent="0.25">
      <c r="A11" s="1">
        <v>45941</v>
      </c>
      <c r="B11" s="32"/>
      <c r="C11" s="32"/>
      <c r="D11" s="32"/>
      <c r="E11" s="32"/>
      <c r="F11" s="32"/>
      <c r="G11" s="32"/>
      <c r="H11" s="32"/>
      <c r="I11" s="32"/>
      <c r="J11" s="32"/>
      <c r="K11" s="32">
        <v>3019206.0999999992</v>
      </c>
      <c r="L11" s="18">
        <v>377061</v>
      </c>
      <c r="M11" s="18">
        <v>46376.2</v>
      </c>
      <c r="N11" s="32">
        <v>108760.3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>
        <f t="shared" si="0"/>
        <v>3551403.5999999992</v>
      </c>
      <c r="AF11" s="32"/>
      <c r="AG11" s="32">
        <v>3626671</v>
      </c>
      <c r="AH11" s="33">
        <f t="shared" si="1"/>
        <v>75267.400000000838</v>
      </c>
    </row>
    <row r="12" spans="1:34" x14ac:dyDescent="0.25">
      <c r="A12" s="1">
        <v>45943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18">
        <v>8150708.7499999981</v>
      </c>
      <c r="M12" s="18">
        <v>2372798.4499999997</v>
      </c>
      <c r="N12" s="32">
        <v>439043.85000000003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>
        <f t="shared" si="0"/>
        <v>10962551.049999997</v>
      </c>
      <c r="AF12" s="32"/>
      <c r="AG12" s="32">
        <v>11205895.73</v>
      </c>
      <c r="AH12" s="35">
        <f t="shared" si="1"/>
        <v>243344.68000000343</v>
      </c>
    </row>
    <row r="13" spans="1:34" x14ac:dyDescent="0.25">
      <c r="A13" s="1">
        <v>45944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18">
        <v>9015908.5500000045</v>
      </c>
      <c r="N13" s="32">
        <v>1296657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>
        <f t="shared" si="0"/>
        <v>10312565.550000004</v>
      </c>
      <c r="AF13" s="32"/>
      <c r="AG13" s="32">
        <v>10883017.51</v>
      </c>
      <c r="AH13" s="35">
        <f t="shared" si="1"/>
        <v>570451.95999999531</v>
      </c>
    </row>
    <row r="14" spans="1:34" x14ac:dyDescent="0.25">
      <c r="A14" s="1">
        <v>45945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>
        <v>7838279.1500000004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>
        <f t="shared" si="0"/>
        <v>7838279.1500000004</v>
      </c>
      <c r="AF14" s="32"/>
      <c r="AG14" s="32">
        <v>11825124.41</v>
      </c>
      <c r="AH14" s="33">
        <f t="shared" si="1"/>
        <v>3986845.26</v>
      </c>
    </row>
    <row r="15" spans="1:34" x14ac:dyDescent="0.25">
      <c r="A15" s="1">
        <v>45946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>
        <f t="shared" si="0"/>
        <v>0</v>
      </c>
      <c r="AF15" s="32"/>
      <c r="AG15" s="32"/>
      <c r="AH15" s="36">
        <f t="shared" si="1"/>
        <v>0</v>
      </c>
    </row>
    <row r="16" spans="1:34" x14ac:dyDescent="0.25">
      <c r="A16" s="1">
        <v>45947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>
        <f t="shared" si="0"/>
        <v>0</v>
      </c>
      <c r="AF16" s="32"/>
      <c r="AG16" s="32"/>
      <c r="AH16" s="36">
        <f t="shared" si="1"/>
        <v>0</v>
      </c>
    </row>
    <row r="17" spans="1:34" x14ac:dyDescent="0.25">
      <c r="A17" s="1">
        <v>45948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>
        <f t="shared" si="0"/>
        <v>0</v>
      </c>
      <c r="AF17" s="32"/>
      <c r="AG17" s="32"/>
      <c r="AH17" s="36">
        <f t="shared" si="1"/>
        <v>0</v>
      </c>
    </row>
    <row r="18" spans="1:34" x14ac:dyDescent="0.25">
      <c r="A18" s="1">
        <v>45949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>
        <f t="shared" si="0"/>
        <v>0</v>
      </c>
      <c r="AF18" s="32"/>
      <c r="AG18" s="32"/>
      <c r="AH18" s="36">
        <f t="shared" si="1"/>
        <v>0</v>
      </c>
    </row>
    <row r="19" spans="1:34" x14ac:dyDescent="0.25">
      <c r="A19" s="1">
        <v>45950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>
        <f t="shared" si="0"/>
        <v>0</v>
      </c>
      <c r="AF19" s="32"/>
      <c r="AG19" s="32"/>
      <c r="AH19" s="36">
        <f t="shared" si="1"/>
        <v>0</v>
      </c>
    </row>
    <row r="20" spans="1:34" x14ac:dyDescent="0.25">
      <c r="A20" s="1">
        <v>45951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>
        <f t="shared" si="0"/>
        <v>0</v>
      </c>
      <c r="AF20" s="32"/>
      <c r="AG20" s="32"/>
      <c r="AH20" s="36">
        <f t="shared" si="1"/>
        <v>0</v>
      </c>
    </row>
    <row r="21" spans="1:34" x14ac:dyDescent="0.25">
      <c r="A21" s="1">
        <v>45952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>
        <f t="shared" si="0"/>
        <v>0</v>
      </c>
      <c r="AF21" s="32"/>
      <c r="AG21" s="32"/>
      <c r="AH21" s="36">
        <f t="shared" si="1"/>
        <v>0</v>
      </c>
    </row>
    <row r="22" spans="1:34" x14ac:dyDescent="0.25">
      <c r="A22" s="1">
        <v>45953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>
        <f t="shared" si="0"/>
        <v>0</v>
      </c>
      <c r="AF22" s="32"/>
      <c r="AG22" s="32"/>
      <c r="AH22" s="36">
        <f t="shared" si="1"/>
        <v>0</v>
      </c>
    </row>
    <row r="23" spans="1:34" x14ac:dyDescent="0.25">
      <c r="A23" s="1">
        <v>45954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>
        <f t="shared" si="0"/>
        <v>0</v>
      </c>
      <c r="AF23" s="32"/>
      <c r="AG23" s="32"/>
      <c r="AH23" s="36">
        <f t="shared" si="1"/>
        <v>0</v>
      </c>
    </row>
    <row r="24" spans="1:34" x14ac:dyDescent="0.25">
      <c r="A24" s="1">
        <v>45955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>
        <f t="shared" si="0"/>
        <v>0</v>
      </c>
      <c r="AF24" s="32"/>
      <c r="AG24" s="32"/>
      <c r="AH24" s="36">
        <f t="shared" si="1"/>
        <v>0</v>
      </c>
    </row>
    <row r="25" spans="1:34" x14ac:dyDescent="0.25">
      <c r="A25" s="1">
        <v>45956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>
        <f t="shared" si="0"/>
        <v>0</v>
      </c>
      <c r="AF25" s="32"/>
      <c r="AG25" s="32"/>
      <c r="AH25" s="36">
        <f t="shared" si="1"/>
        <v>0</v>
      </c>
    </row>
    <row r="26" spans="1:34" x14ac:dyDescent="0.25">
      <c r="A26" s="1">
        <v>45957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>
        <f t="shared" si="0"/>
        <v>0</v>
      </c>
      <c r="AF26" s="32"/>
      <c r="AG26" s="32"/>
      <c r="AH26" s="36">
        <f t="shared" si="1"/>
        <v>0</v>
      </c>
    </row>
    <row r="27" spans="1:34" x14ac:dyDescent="0.25">
      <c r="A27" s="1">
        <v>45958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>
        <f t="shared" si="0"/>
        <v>0</v>
      </c>
      <c r="AF27" s="32"/>
      <c r="AG27" s="32"/>
      <c r="AH27" s="36">
        <f t="shared" si="1"/>
        <v>0</v>
      </c>
    </row>
    <row r="28" spans="1:34" x14ac:dyDescent="0.25">
      <c r="A28" s="1">
        <v>45959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>
        <f t="shared" si="0"/>
        <v>0</v>
      </c>
      <c r="AF28" s="32"/>
      <c r="AG28" s="32"/>
      <c r="AH28" s="36">
        <f t="shared" si="1"/>
        <v>0</v>
      </c>
    </row>
    <row r="29" spans="1:34" x14ac:dyDescent="0.25">
      <c r="A29" s="1">
        <v>45960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>
        <f t="shared" si="0"/>
        <v>0</v>
      </c>
      <c r="AF29" s="32"/>
      <c r="AG29" s="32"/>
      <c r="AH29" s="36">
        <f t="shared" si="1"/>
        <v>0</v>
      </c>
    </row>
    <row r="30" spans="1:34" x14ac:dyDescent="0.25">
      <c r="A30" s="1">
        <v>45961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>
        <f t="shared" si="0"/>
        <v>0</v>
      </c>
      <c r="AF30" s="32"/>
      <c r="AG30" s="32"/>
      <c r="AH30" s="36">
        <f t="shared" si="1"/>
        <v>0</v>
      </c>
    </row>
    <row r="31" spans="1:34" x14ac:dyDescent="0.25">
      <c r="A31" t="s">
        <v>1</v>
      </c>
      <c r="B31" s="32">
        <f t="shared" ref="B31:AD31" si="2">SUM(B2:B30)</f>
        <v>871.05000000000007</v>
      </c>
      <c r="C31" s="32">
        <f t="shared" si="2"/>
        <v>314.5</v>
      </c>
      <c r="D31" s="32">
        <f t="shared" si="2"/>
        <v>522.04999999999995</v>
      </c>
      <c r="E31" s="32">
        <f t="shared" si="2"/>
        <v>0</v>
      </c>
      <c r="F31" s="32">
        <f t="shared" si="2"/>
        <v>0</v>
      </c>
      <c r="G31" s="32">
        <f t="shared" si="2"/>
        <v>0</v>
      </c>
      <c r="H31" s="32">
        <f t="shared" si="2"/>
        <v>0</v>
      </c>
      <c r="I31" s="32">
        <f t="shared" si="2"/>
        <v>0</v>
      </c>
      <c r="J31" s="32">
        <f t="shared" si="2"/>
        <v>5561390.0500000007</v>
      </c>
      <c r="K31" s="32">
        <f t="shared" si="2"/>
        <v>3613658.0999999992</v>
      </c>
      <c r="L31" s="32">
        <f t="shared" si="2"/>
        <v>8825005.4999999981</v>
      </c>
      <c r="M31" s="32">
        <f t="shared" si="2"/>
        <v>11650243.000000004</v>
      </c>
      <c r="N31" s="32">
        <f t="shared" si="2"/>
        <v>9682740.3000000007</v>
      </c>
      <c r="O31" s="32">
        <f t="shared" si="2"/>
        <v>0</v>
      </c>
      <c r="P31" s="32">
        <f t="shared" si="2"/>
        <v>0</v>
      </c>
      <c r="Q31" s="32">
        <f t="shared" si="2"/>
        <v>0</v>
      </c>
      <c r="R31" s="32">
        <f t="shared" si="2"/>
        <v>0</v>
      </c>
      <c r="S31" s="32">
        <f t="shared" si="2"/>
        <v>0</v>
      </c>
      <c r="T31" s="32">
        <f t="shared" si="2"/>
        <v>0</v>
      </c>
      <c r="U31" s="32">
        <f t="shared" si="2"/>
        <v>0</v>
      </c>
      <c r="V31" s="32">
        <f t="shared" si="2"/>
        <v>0</v>
      </c>
      <c r="W31" s="32">
        <f t="shared" si="2"/>
        <v>0</v>
      </c>
      <c r="X31" s="32">
        <f t="shared" si="2"/>
        <v>0</v>
      </c>
      <c r="Y31" s="32">
        <f t="shared" si="2"/>
        <v>0</v>
      </c>
      <c r="Z31" s="32">
        <f t="shared" si="2"/>
        <v>0</v>
      </c>
      <c r="AA31" s="32">
        <f t="shared" si="2"/>
        <v>0</v>
      </c>
      <c r="AB31" s="32">
        <f t="shared" si="2"/>
        <v>0</v>
      </c>
      <c r="AC31" s="32">
        <f t="shared" si="2"/>
        <v>0</v>
      </c>
      <c r="AD31" s="32">
        <f t="shared" si="2"/>
        <v>0</v>
      </c>
      <c r="AE31" s="32">
        <f t="shared" si="0"/>
        <v>39334744.550000004</v>
      </c>
      <c r="AF31" s="32"/>
      <c r="AG31" s="32"/>
      <c r="AH31" s="36">
        <f t="shared" si="1"/>
        <v>-39334744.550000004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E1" sqref="AE1:AG3"/>
    </sheetView>
  </sheetViews>
  <sheetFormatPr defaultRowHeight="15" x14ac:dyDescent="0.25"/>
  <cols>
    <col min="31" max="31" width="12.85546875" customWidth="1"/>
    <col min="32" max="32" width="12.140625" customWidth="1"/>
    <col min="33" max="33" width="11.85546875" bestFit="1" customWidth="1"/>
  </cols>
  <sheetData>
    <row r="1" spans="1:33" x14ac:dyDescent="0.25">
      <c r="A1" t="s">
        <v>0</v>
      </c>
      <c r="B1" s="1">
        <v>45962</v>
      </c>
      <c r="C1" s="1">
        <v>45963</v>
      </c>
      <c r="D1" s="1">
        <v>45964</v>
      </c>
      <c r="E1" s="1">
        <v>45965</v>
      </c>
      <c r="F1" s="1">
        <v>45966</v>
      </c>
      <c r="G1" s="1">
        <v>45967</v>
      </c>
      <c r="H1" s="1">
        <v>45968</v>
      </c>
      <c r="I1" s="1">
        <v>45969</v>
      </c>
      <c r="J1" s="1">
        <v>45970</v>
      </c>
      <c r="K1" s="1">
        <v>45971</v>
      </c>
      <c r="L1" s="1">
        <v>45972</v>
      </c>
      <c r="M1" s="1">
        <v>45973</v>
      </c>
      <c r="N1" s="1">
        <v>45974</v>
      </c>
      <c r="O1" s="1">
        <v>45975</v>
      </c>
      <c r="P1" s="1">
        <v>45976</v>
      </c>
      <c r="Q1" s="1">
        <v>45978</v>
      </c>
      <c r="R1" s="1">
        <v>45979</v>
      </c>
      <c r="S1" s="1">
        <v>45980</v>
      </c>
      <c r="T1" s="1">
        <v>45981</v>
      </c>
      <c r="U1" s="1">
        <v>45982</v>
      </c>
      <c r="V1" s="1">
        <v>45983</v>
      </c>
      <c r="W1" s="1">
        <v>45985</v>
      </c>
      <c r="X1" s="1">
        <v>45986</v>
      </c>
      <c r="Y1" s="1">
        <v>45987</v>
      </c>
      <c r="Z1" s="1">
        <v>45988</v>
      </c>
      <c r="AA1" s="1">
        <v>45989</v>
      </c>
      <c r="AB1" s="1">
        <v>45990</v>
      </c>
      <c r="AC1" s="1">
        <v>45991</v>
      </c>
      <c r="AD1" t="s">
        <v>1</v>
      </c>
      <c r="AE1" s="12" t="s">
        <v>2</v>
      </c>
      <c r="AF1" s="12" t="s">
        <v>3</v>
      </c>
      <c r="AG1" s="12" t="s">
        <v>4</v>
      </c>
    </row>
    <row r="2" spans="1:33" x14ac:dyDescent="0.25">
      <c r="A2" s="1">
        <v>45962</v>
      </c>
      <c r="AD2">
        <f t="shared" ref="AD2:AD29" si="0">SUM(B2:AC2)</f>
        <v>0</v>
      </c>
      <c r="AE2" s="32"/>
      <c r="AF2" s="32"/>
      <c r="AG2" s="32">
        <f>AF2-AD2</f>
        <v>0</v>
      </c>
    </row>
    <row r="3" spans="1:33" x14ac:dyDescent="0.25">
      <c r="A3" s="1">
        <v>45963</v>
      </c>
      <c r="AD3">
        <f t="shared" si="0"/>
        <v>0</v>
      </c>
      <c r="AE3" s="32"/>
      <c r="AF3" s="32"/>
      <c r="AG3" s="32">
        <f>AF3-AD3</f>
        <v>0</v>
      </c>
    </row>
    <row r="4" spans="1:33" x14ac:dyDescent="0.25">
      <c r="A4" s="1">
        <v>45964</v>
      </c>
      <c r="AD4">
        <f t="shared" si="0"/>
        <v>0</v>
      </c>
      <c r="AE4" s="32"/>
      <c r="AF4" s="32"/>
      <c r="AG4" s="32">
        <f>AF4-AD4</f>
        <v>0</v>
      </c>
    </row>
    <row r="5" spans="1:33" x14ac:dyDescent="0.25">
      <c r="A5" s="1">
        <v>45965</v>
      </c>
      <c r="AD5">
        <f t="shared" si="0"/>
        <v>0</v>
      </c>
      <c r="AE5" s="32"/>
      <c r="AF5" s="32"/>
      <c r="AG5" s="32">
        <f t="shared" ref="AG5:AG28" si="1">AF5-AD5</f>
        <v>0</v>
      </c>
    </row>
    <row r="6" spans="1:33" x14ac:dyDescent="0.25">
      <c r="A6" s="1">
        <v>45966</v>
      </c>
      <c r="AD6">
        <f t="shared" si="0"/>
        <v>0</v>
      </c>
      <c r="AE6" s="32"/>
      <c r="AF6" s="32"/>
      <c r="AG6" s="32">
        <f t="shared" si="1"/>
        <v>0</v>
      </c>
    </row>
    <row r="7" spans="1:33" x14ac:dyDescent="0.25">
      <c r="A7" s="1">
        <v>45967</v>
      </c>
      <c r="AD7">
        <f t="shared" si="0"/>
        <v>0</v>
      </c>
      <c r="AE7" s="32"/>
      <c r="AF7" s="32"/>
      <c r="AG7" s="32">
        <f t="shared" si="1"/>
        <v>0</v>
      </c>
    </row>
    <row r="8" spans="1:33" x14ac:dyDescent="0.25">
      <c r="A8" s="1">
        <v>45968</v>
      </c>
      <c r="AD8">
        <f t="shared" si="0"/>
        <v>0</v>
      </c>
      <c r="AE8" s="32"/>
      <c r="AF8" s="32"/>
      <c r="AG8" s="32">
        <f t="shared" si="1"/>
        <v>0</v>
      </c>
    </row>
    <row r="9" spans="1:33" x14ac:dyDescent="0.25">
      <c r="A9" s="1">
        <v>45969</v>
      </c>
      <c r="AD9">
        <f t="shared" si="0"/>
        <v>0</v>
      </c>
      <c r="AE9" s="32"/>
      <c r="AF9" s="32"/>
      <c r="AG9" s="32">
        <f t="shared" si="1"/>
        <v>0</v>
      </c>
    </row>
    <row r="10" spans="1:33" x14ac:dyDescent="0.25">
      <c r="A10" s="1">
        <v>45970</v>
      </c>
      <c r="AD10">
        <f t="shared" si="0"/>
        <v>0</v>
      </c>
      <c r="AE10" s="32"/>
      <c r="AF10" s="32"/>
      <c r="AG10" s="33">
        <f t="shared" si="1"/>
        <v>0</v>
      </c>
    </row>
    <row r="11" spans="1:33" x14ac:dyDescent="0.25">
      <c r="A11" s="1">
        <v>45971</v>
      </c>
      <c r="Q11" s="18">
        <v>22.85</v>
      </c>
      <c r="AD11">
        <f t="shared" si="0"/>
        <v>22.85</v>
      </c>
      <c r="AE11" s="32"/>
      <c r="AF11" s="32"/>
      <c r="AG11" s="33">
        <f t="shared" si="1"/>
        <v>-22.85</v>
      </c>
    </row>
    <row r="12" spans="1:33" x14ac:dyDescent="0.25">
      <c r="A12" s="1">
        <v>45972</v>
      </c>
      <c r="AD12">
        <f t="shared" si="0"/>
        <v>0</v>
      </c>
      <c r="AE12" s="32"/>
      <c r="AF12" s="32"/>
      <c r="AG12" s="35">
        <f t="shared" si="1"/>
        <v>0</v>
      </c>
    </row>
    <row r="13" spans="1:33" x14ac:dyDescent="0.25">
      <c r="A13" s="1">
        <v>45973</v>
      </c>
      <c r="AD13">
        <f t="shared" si="0"/>
        <v>0</v>
      </c>
      <c r="AE13" s="32"/>
      <c r="AF13" s="32"/>
      <c r="AG13" s="35">
        <f t="shared" si="1"/>
        <v>0</v>
      </c>
    </row>
    <row r="14" spans="1:33" x14ac:dyDescent="0.25">
      <c r="A14" s="1">
        <v>45974</v>
      </c>
      <c r="R14">
        <v>42.1</v>
      </c>
      <c r="S14">
        <v>94.5</v>
      </c>
      <c r="V14">
        <v>21.9</v>
      </c>
      <c r="AD14">
        <f t="shared" si="0"/>
        <v>158.5</v>
      </c>
      <c r="AE14" s="32"/>
      <c r="AF14" s="32"/>
      <c r="AG14" s="33">
        <f t="shared" si="1"/>
        <v>-158.5</v>
      </c>
    </row>
    <row r="15" spans="1:33" x14ac:dyDescent="0.25">
      <c r="A15" s="1">
        <v>45975</v>
      </c>
      <c r="Q15" s="18">
        <v>65.149999999999991</v>
      </c>
      <c r="R15">
        <v>56.650000000000006</v>
      </c>
      <c r="S15">
        <v>51.35</v>
      </c>
      <c r="AD15">
        <f t="shared" si="0"/>
        <v>173.15</v>
      </c>
      <c r="AE15" s="32"/>
      <c r="AF15" s="32"/>
      <c r="AG15" s="36">
        <f t="shared" si="1"/>
        <v>-173.15</v>
      </c>
    </row>
    <row r="16" spans="1:33" x14ac:dyDescent="0.25">
      <c r="A16" s="1">
        <v>45976</v>
      </c>
      <c r="R16">
        <v>16.899999999999999</v>
      </c>
      <c r="S16">
        <v>27</v>
      </c>
      <c r="AD16">
        <f t="shared" si="0"/>
        <v>43.9</v>
      </c>
      <c r="AE16" s="32"/>
      <c r="AF16" s="32"/>
      <c r="AG16" s="36">
        <f t="shared" si="1"/>
        <v>-43.9</v>
      </c>
    </row>
    <row r="17" spans="1:35" x14ac:dyDescent="0.25">
      <c r="A17" s="37">
        <v>45978</v>
      </c>
      <c r="Q17" s="18">
        <v>3215.5300000000016</v>
      </c>
      <c r="R17">
        <v>1076.8499999999999</v>
      </c>
      <c r="S17">
        <v>280.25</v>
      </c>
      <c r="T17">
        <v>10</v>
      </c>
      <c r="AD17">
        <f t="shared" si="0"/>
        <v>4582.630000000001</v>
      </c>
      <c r="AE17" s="32"/>
      <c r="AF17" s="39">
        <f>4618.45+1.63</f>
        <v>4620.08</v>
      </c>
      <c r="AG17" s="38">
        <f t="shared" si="1"/>
        <v>37.449999999998909</v>
      </c>
      <c r="AH17">
        <v>58.8</v>
      </c>
      <c r="AI17" s="32">
        <f>AH17-AG17</f>
        <v>21.350000000001089</v>
      </c>
    </row>
    <row r="18" spans="1:35" x14ac:dyDescent="0.25">
      <c r="A18" s="37">
        <v>45979</v>
      </c>
      <c r="R18">
        <v>3134.3000000000011</v>
      </c>
      <c r="S18">
        <v>710.25000000000011</v>
      </c>
      <c r="T18">
        <v>89</v>
      </c>
      <c r="U18">
        <v>76.95</v>
      </c>
      <c r="V18">
        <v>44.150000000000006</v>
      </c>
      <c r="AD18">
        <f t="shared" si="0"/>
        <v>4054.650000000001</v>
      </c>
      <c r="AE18" s="32"/>
      <c r="AF18" s="39">
        <v>4102.25</v>
      </c>
      <c r="AG18" s="38">
        <f t="shared" si="1"/>
        <v>47.599999999999</v>
      </c>
      <c r="AH18">
        <v>26.25</v>
      </c>
      <c r="AI18" s="32">
        <f>AH18-AG18</f>
        <v>-21.349999999999</v>
      </c>
    </row>
    <row r="19" spans="1:35" x14ac:dyDescent="0.25">
      <c r="A19" s="1">
        <v>45980</v>
      </c>
      <c r="S19">
        <v>1253.2500000000005</v>
      </c>
      <c r="T19">
        <v>159.9</v>
      </c>
      <c r="Y19">
        <v>11.35</v>
      </c>
      <c r="AD19">
        <f t="shared" si="0"/>
        <v>1424.5000000000005</v>
      </c>
      <c r="AE19" s="32"/>
      <c r="AF19" s="39">
        <v>1448.85</v>
      </c>
      <c r="AG19" s="39">
        <f t="shared" si="1"/>
        <v>24.349999999999454</v>
      </c>
    </row>
    <row r="20" spans="1:35" x14ac:dyDescent="0.25">
      <c r="A20" s="1">
        <v>45981</v>
      </c>
      <c r="T20">
        <v>3949.1499999999996</v>
      </c>
      <c r="U20">
        <v>1252.2</v>
      </c>
      <c r="V20">
        <v>201.49999999999997</v>
      </c>
      <c r="W20">
        <v>40.450000000000003</v>
      </c>
      <c r="X20" s="18">
        <v>85</v>
      </c>
      <c r="Y20">
        <v>21.75</v>
      </c>
      <c r="AD20">
        <f t="shared" si="0"/>
        <v>5550.0499999999993</v>
      </c>
      <c r="AE20" s="32"/>
      <c r="AF20" s="39">
        <v>5550.05</v>
      </c>
      <c r="AG20" s="39">
        <f t="shared" si="1"/>
        <v>0</v>
      </c>
    </row>
    <row r="21" spans="1:35" x14ac:dyDescent="0.25">
      <c r="A21" s="1">
        <v>45982</v>
      </c>
      <c r="U21">
        <v>83.25</v>
      </c>
      <c r="X21" s="18"/>
      <c r="AD21">
        <f t="shared" si="0"/>
        <v>83.25</v>
      </c>
      <c r="AE21" s="32"/>
      <c r="AF21" s="39">
        <v>83.25</v>
      </c>
      <c r="AG21" s="39">
        <f t="shared" si="1"/>
        <v>0</v>
      </c>
    </row>
    <row r="22" spans="1:35" x14ac:dyDescent="0.25">
      <c r="A22" s="1">
        <v>45985</v>
      </c>
      <c r="W22" s="40">
        <v>3555.099999999999</v>
      </c>
      <c r="X22" s="40">
        <v>1444.3000000000006</v>
      </c>
      <c r="Y22" s="40">
        <v>337.7</v>
      </c>
      <c r="Z22" s="40">
        <v>120.85000000000001</v>
      </c>
      <c r="AD22">
        <f t="shared" si="0"/>
        <v>5457.95</v>
      </c>
      <c r="AE22" s="32"/>
      <c r="AF22" s="39">
        <v>5491.57</v>
      </c>
      <c r="AG22" s="39">
        <f t="shared" si="1"/>
        <v>33.619999999999891</v>
      </c>
    </row>
    <row r="23" spans="1:35" x14ac:dyDescent="0.25">
      <c r="A23" s="1">
        <v>45986</v>
      </c>
      <c r="X23" s="40">
        <v>4098.2000000000007</v>
      </c>
      <c r="Y23">
        <v>1027.8999999999996</v>
      </c>
      <c r="Z23">
        <v>302.60000000000008</v>
      </c>
      <c r="AD23">
        <f t="shared" si="0"/>
        <v>5428.7000000000007</v>
      </c>
      <c r="AE23" s="32"/>
      <c r="AF23" s="39">
        <v>5522.65</v>
      </c>
      <c r="AG23" s="39">
        <f t="shared" si="1"/>
        <v>93.949999999998909</v>
      </c>
    </row>
    <row r="24" spans="1:35" x14ac:dyDescent="0.25">
      <c r="A24" s="1">
        <v>45987</v>
      </c>
      <c r="Y24">
        <v>3062.75</v>
      </c>
      <c r="Z24">
        <v>762.25</v>
      </c>
      <c r="AD24">
        <f t="shared" si="0"/>
        <v>3825</v>
      </c>
      <c r="AE24" s="32"/>
      <c r="AF24" s="39">
        <v>4036.55</v>
      </c>
      <c r="AG24" s="39">
        <f t="shared" si="1"/>
        <v>211.55000000000018</v>
      </c>
    </row>
    <row r="25" spans="1:35" x14ac:dyDescent="0.25">
      <c r="A25" s="1">
        <v>45988</v>
      </c>
      <c r="Z25">
        <v>3570.150000000001</v>
      </c>
      <c r="AD25">
        <f t="shared" si="0"/>
        <v>3570.150000000001</v>
      </c>
      <c r="AE25" s="32"/>
      <c r="AF25" s="39">
        <v>4416.5</v>
      </c>
      <c r="AG25" s="39">
        <f t="shared" si="1"/>
        <v>846.349999999999</v>
      </c>
    </row>
    <row r="26" spans="1:35" x14ac:dyDescent="0.25">
      <c r="A26" s="1">
        <v>45989</v>
      </c>
      <c r="AD26">
        <f t="shared" si="0"/>
        <v>0</v>
      </c>
      <c r="AE26" s="32"/>
      <c r="AF26" s="32"/>
      <c r="AG26" s="36">
        <f t="shared" si="1"/>
        <v>0</v>
      </c>
    </row>
    <row r="27" spans="1:35" x14ac:dyDescent="0.25">
      <c r="A27" s="1">
        <v>45990</v>
      </c>
      <c r="AD27">
        <f t="shared" si="0"/>
        <v>0</v>
      </c>
      <c r="AE27" s="32"/>
      <c r="AF27" s="32"/>
      <c r="AG27" s="36">
        <f t="shared" si="1"/>
        <v>0</v>
      </c>
    </row>
    <row r="28" spans="1:35" x14ac:dyDescent="0.25">
      <c r="A28" s="1">
        <v>45991</v>
      </c>
      <c r="AD28">
        <f t="shared" si="0"/>
        <v>0</v>
      </c>
      <c r="AE28" s="32"/>
      <c r="AF28" s="32"/>
      <c r="AG28" s="36">
        <f t="shared" si="1"/>
        <v>0</v>
      </c>
    </row>
    <row r="29" spans="1:35" x14ac:dyDescent="0.25">
      <c r="A29" t="s">
        <v>1</v>
      </c>
      <c r="B29">
        <f t="shared" ref="B29:AC29" si="2">SUM(B2:B28)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3303.5300000000016</v>
      </c>
      <c r="R29">
        <f t="shared" si="2"/>
        <v>4326.8000000000011</v>
      </c>
      <c r="S29">
        <f t="shared" si="2"/>
        <v>2416.6000000000004</v>
      </c>
      <c r="T29">
        <f t="shared" si="2"/>
        <v>4208.0499999999993</v>
      </c>
      <c r="U29">
        <f t="shared" si="2"/>
        <v>1412.4</v>
      </c>
      <c r="V29">
        <f t="shared" si="2"/>
        <v>267.54999999999995</v>
      </c>
      <c r="W29">
        <f t="shared" si="2"/>
        <v>3595.5499999999988</v>
      </c>
      <c r="X29">
        <f t="shared" si="2"/>
        <v>5627.5000000000018</v>
      </c>
      <c r="Y29">
        <f t="shared" si="2"/>
        <v>4461.45</v>
      </c>
      <c r="Z29">
        <f t="shared" si="2"/>
        <v>4755.8500000000013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0"/>
        <v>34375.280000000006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AI4" sqref="AI4"/>
    </sheetView>
  </sheetViews>
  <sheetFormatPr defaultRowHeight="15" x14ac:dyDescent="0.25"/>
  <cols>
    <col min="2" max="31" width="14.42578125" customWidth="1"/>
    <col min="32" max="32" width="15.42578125" customWidth="1"/>
    <col min="33" max="33" width="17" customWidth="1"/>
    <col min="34" max="34" width="16.5703125" customWidth="1"/>
    <col min="35" max="35" width="12.7109375" customWidth="1"/>
  </cols>
  <sheetData>
    <row r="1" spans="1:35" x14ac:dyDescent="0.25">
      <c r="A1" t="s">
        <v>0</v>
      </c>
      <c r="B1" s="1">
        <v>45992</v>
      </c>
      <c r="C1" s="1">
        <v>45993</v>
      </c>
      <c r="D1" s="1">
        <v>45994</v>
      </c>
      <c r="E1" s="1">
        <v>45995</v>
      </c>
      <c r="F1" s="1">
        <v>45996</v>
      </c>
      <c r="G1" s="1">
        <v>45997</v>
      </c>
      <c r="H1" s="1">
        <v>45999</v>
      </c>
      <c r="I1" s="1">
        <v>46000</v>
      </c>
      <c r="J1" s="1">
        <v>46001</v>
      </c>
      <c r="K1" s="1">
        <v>46002</v>
      </c>
      <c r="L1" s="1">
        <v>46003</v>
      </c>
      <c r="M1" s="1">
        <v>46004</v>
      </c>
      <c r="N1" s="1">
        <v>46005</v>
      </c>
      <c r="O1" s="1">
        <v>46006</v>
      </c>
      <c r="P1" s="1">
        <v>46007</v>
      </c>
      <c r="Q1" s="1">
        <v>46008</v>
      </c>
      <c r="R1" s="1">
        <v>46009</v>
      </c>
      <c r="S1" s="1">
        <v>46010</v>
      </c>
      <c r="T1" s="1">
        <v>46011</v>
      </c>
      <c r="U1" s="1">
        <v>46012</v>
      </c>
      <c r="V1" s="1">
        <v>46013</v>
      </c>
      <c r="W1" s="1">
        <v>46014</v>
      </c>
      <c r="X1" s="1">
        <v>46015</v>
      </c>
      <c r="Y1" s="1">
        <v>46016</v>
      </c>
      <c r="Z1" s="1">
        <v>46017</v>
      </c>
      <c r="AA1" s="1">
        <v>46018</v>
      </c>
      <c r="AB1" s="1">
        <v>46019</v>
      </c>
      <c r="AC1" s="1">
        <v>46020</v>
      </c>
      <c r="AD1" s="1">
        <v>46021</v>
      </c>
      <c r="AE1" s="1">
        <v>46022</v>
      </c>
      <c r="AF1" t="s">
        <v>1</v>
      </c>
      <c r="AG1" s="12" t="s">
        <v>2</v>
      </c>
      <c r="AH1" s="12" t="s">
        <v>3</v>
      </c>
      <c r="AI1" s="12" t="s">
        <v>4</v>
      </c>
    </row>
    <row r="2" spans="1:35" x14ac:dyDescent="0.25">
      <c r="A2" s="1">
        <v>45978</v>
      </c>
      <c r="B2" s="1"/>
      <c r="C2" s="1"/>
      <c r="D2" s="1"/>
      <c r="E2" s="1"/>
      <c r="F2" s="1"/>
      <c r="G2" s="1"/>
      <c r="H2" s="1"/>
      <c r="I2" s="32">
        <v>58362.85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>
        <f t="shared" ref="AF2:AF33" si="0">SUM(B2:AE2)</f>
        <v>58362.85</v>
      </c>
      <c r="AG2" s="12"/>
      <c r="AH2" s="12"/>
      <c r="AI2" s="12"/>
    </row>
    <row r="3" spans="1:35" x14ac:dyDescent="0.25">
      <c r="A3" s="1">
        <v>45989</v>
      </c>
      <c r="B3" s="1"/>
      <c r="C3" s="1"/>
      <c r="D3" s="1"/>
      <c r="E3" s="1"/>
      <c r="F3" s="1"/>
      <c r="G3" s="1"/>
      <c r="H3" s="1"/>
      <c r="I3" s="32">
        <v>54873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>
        <f t="shared" si="0"/>
        <v>54873</v>
      </c>
      <c r="AG3" s="12"/>
      <c r="AH3" s="12"/>
      <c r="AI3" s="12"/>
    </row>
    <row r="4" spans="1:35" x14ac:dyDescent="0.25">
      <c r="A4" s="1">
        <v>45992</v>
      </c>
      <c r="H4" s="32"/>
      <c r="AF4">
        <f t="shared" si="0"/>
        <v>0</v>
      </c>
      <c r="AG4" s="32"/>
      <c r="AH4" s="32"/>
      <c r="AI4" s="32">
        <f>AH4-AF4</f>
        <v>0</v>
      </c>
    </row>
    <row r="5" spans="1:35" x14ac:dyDescent="0.25">
      <c r="A5" s="1">
        <v>45993</v>
      </c>
      <c r="H5" s="32"/>
      <c r="AF5">
        <f t="shared" si="0"/>
        <v>0</v>
      </c>
      <c r="AG5" s="32"/>
      <c r="AH5" s="32"/>
      <c r="AI5" s="32">
        <f>AH5-AF5</f>
        <v>0</v>
      </c>
    </row>
    <row r="6" spans="1:35" x14ac:dyDescent="0.25">
      <c r="A6" s="1">
        <v>45994</v>
      </c>
      <c r="H6" s="32"/>
      <c r="AF6">
        <f t="shared" si="0"/>
        <v>0</v>
      </c>
      <c r="AI6" s="32">
        <f t="shared" ref="AI6:AI34" si="1">AH6-AF6</f>
        <v>0</v>
      </c>
    </row>
    <row r="7" spans="1:35" x14ac:dyDescent="0.25">
      <c r="A7" s="1">
        <v>45995</v>
      </c>
      <c r="H7" s="32">
        <v>67516.25</v>
      </c>
      <c r="AF7">
        <f t="shared" si="0"/>
        <v>67516.25</v>
      </c>
      <c r="AI7" s="32">
        <f t="shared" si="1"/>
        <v>-67516.25</v>
      </c>
    </row>
    <row r="8" spans="1:35" x14ac:dyDescent="0.25">
      <c r="A8" s="1">
        <v>45996</v>
      </c>
      <c r="H8" s="32">
        <v>152434</v>
      </c>
      <c r="AF8">
        <f t="shared" si="0"/>
        <v>152434</v>
      </c>
      <c r="AI8" s="32">
        <f t="shared" si="1"/>
        <v>-152434</v>
      </c>
    </row>
    <row r="9" spans="1:35" x14ac:dyDescent="0.25">
      <c r="A9" s="1">
        <v>45997</v>
      </c>
      <c r="H9" s="32">
        <v>309130.65000000002</v>
      </c>
      <c r="AF9">
        <f t="shared" si="0"/>
        <v>309130.65000000002</v>
      </c>
      <c r="AI9" s="32">
        <f t="shared" si="1"/>
        <v>-309130.65000000002</v>
      </c>
    </row>
    <row r="10" spans="1:35" x14ac:dyDescent="0.25">
      <c r="A10" s="1">
        <v>45999</v>
      </c>
      <c r="G10">
        <v>43221.25</v>
      </c>
      <c r="H10" s="32">
        <v>6527626.1499999994</v>
      </c>
      <c r="I10">
        <v>851507.5</v>
      </c>
      <c r="J10">
        <v>268436.75</v>
      </c>
      <c r="K10">
        <v>38976</v>
      </c>
      <c r="AF10">
        <f t="shared" si="0"/>
        <v>7729767.6499999994</v>
      </c>
      <c r="AH10">
        <v>7818983.7599999998</v>
      </c>
      <c r="AI10" s="33">
        <f t="shared" si="1"/>
        <v>89216.110000000335</v>
      </c>
    </row>
    <row r="11" spans="1:35" x14ac:dyDescent="0.25">
      <c r="A11" s="1">
        <v>46000</v>
      </c>
      <c r="I11">
        <v>7589711.6500000004</v>
      </c>
      <c r="J11">
        <v>1293807.2</v>
      </c>
      <c r="K11">
        <v>143361.75</v>
      </c>
      <c r="L11">
        <v>118762.55</v>
      </c>
      <c r="M11">
        <v>53342</v>
      </c>
      <c r="AF11">
        <f t="shared" si="0"/>
        <v>9198985.1500000004</v>
      </c>
      <c r="AH11">
        <v>9343353.0999999996</v>
      </c>
      <c r="AI11" s="33">
        <f t="shared" si="1"/>
        <v>144367.94999999925</v>
      </c>
    </row>
    <row r="12" spans="1:35" x14ac:dyDescent="0.25">
      <c r="A12" s="1">
        <v>46001</v>
      </c>
      <c r="J12">
        <v>9824085.700000003</v>
      </c>
      <c r="K12">
        <v>1352081.1000000003</v>
      </c>
      <c r="L12">
        <v>520975.8</v>
      </c>
      <c r="M12">
        <v>50517</v>
      </c>
      <c r="AF12">
        <f t="shared" si="0"/>
        <v>11747659.600000003</v>
      </c>
      <c r="AH12">
        <v>11904523.75</v>
      </c>
      <c r="AI12" s="33">
        <f t="shared" si="1"/>
        <v>156864.14999999665</v>
      </c>
    </row>
    <row r="13" spans="1:35" x14ac:dyDescent="0.25">
      <c r="A13" s="1">
        <v>46002</v>
      </c>
      <c r="K13" s="11">
        <v>7218752.6500000032</v>
      </c>
      <c r="L13">
        <v>1817855.3499999999</v>
      </c>
      <c r="M13">
        <v>286790.8</v>
      </c>
      <c r="AF13">
        <f t="shared" si="0"/>
        <v>9323398.8000000045</v>
      </c>
      <c r="AH13">
        <v>9648178.3499999996</v>
      </c>
      <c r="AI13" s="33">
        <f t="shared" si="1"/>
        <v>324779.54999999516</v>
      </c>
    </row>
    <row r="14" spans="1:35" x14ac:dyDescent="0.25">
      <c r="A14" s="1">
        <v>46003</v>
      </c>
      <c r="L14">
        <v>8542107.8000000007</v>
      </c>
      <c r="M14">
        <v>1839426.6000000003</v>
      </c>
      <c r="AF14">
        <f t="shared" si="0"/>
        <v>10381534.4</v>
      </c>
      <c r="AH14">
        <v>10992791.77</v>
      </c>
      <c r="AI14" s="33">
        <f t="shared" si="1"/>
        <v>611257.36999999918</v>
      </c>
    </row>
    <row r="15" spans="1:35" x14ac:dyDescent="0.25">
      <c r="A15" s="1">
        <v>46004</v>
      </c>
      <c r="K15">
        <v>57163.75</v>
      </c>
      <c r="M15">
        <v>40279.25</v>
      </c>
      <c r="AF15">
        <f t="shared" si="0"/>
        <v>97443</v>
      </c>
      <c r="AH15">
        <v>122110.5</v>
      </c>
      <c r="AI15" s="33">
        <f t="shared" si="1"/>
        <v>24667.5</v>
      </c>
    </row>
    <row r="16" spans="1:35" x14ac:dyDescent="0.25">
      <c r="A16" s="1">
        <v>46005</v>
      </c>
      <c r="AF16">
        <f t="shared" si="0"/>
        <v>0</v>
      </c>
      <c r="AI16" s="32">
        <f t="shared" si="1"/>
        <v>0</v>
      </c>
    </row>
    <row r="17" spans="1:35" x14ac:dyDescent="0.25">
      <c r="A17" s="1">
        <v>46006</v>
      </c>
      <c r="AF17">
        <f t="shared" si="0"/>
        <v>0</v>
      </c>
      <c r="AI17" s="32">
        <f t="shared" si="1"/>
        <v>0</v>
      </c>
    </row>
    <row r="18" spans="1:35" x14ac:dyDescent="0.25">
      <c r="A18" s="1">
        <v>46007</v>
      </c>
      <c r="AF18">
        <f t="shared" si="0"/>
        <v>0</v>
      </c>
      <c r="AI18" s="32">
        <f t="shared" si="1"/>
        <v>0</v>
      </c>
    </row>
    <row r="19" spans="1:35" x14ac:dyDescent="0.25">
      <c r="A19" s="1">
        <v>46008</v>
      </c>
      <c r="AF19">
        <f t="shared" si="0"/>
        <v>0</v>
      </c>
      <c r="AI19" s="32">
        <f t="shared" si="1"/>
        <v>0</v>
      </c>
    </row>
    <row r="20" spans="1:35" x14ac:dyDescent="0.25">
      <c r="A20" s="1">
        <v>46009</v>
      </c>
      <c r="AF20">
        <f t="shared" si="0"/>
        <v>0</v>
      </c>
      <c r="AI20" s="32">
        <f t="shared" si="1"/>
        <v>0</v>
      </c>
    </row>
    <row r="21" spans="1:35" x14ac:dyDescent="0.25">
      <c r="A21" s="1">
        <v>46010</v>
      </c>
      <c r="AF21">
        <f t="shared" si="0"/>
        <v>0</v>
      </c>
      <c r="AI21" s="32">
        <f t="shared" si="1"/>
        <v>0</v>
      </c>
    </row>
    <row r="22" spans="1:35" x14ac:dyDescent="0.25">
      <c r="A22" s="1">
        <v>46011</v>
      </c>
      <c r="AF22">
        <f t="shared" si="0"/>
        <v>0</v>
      </c>
      <c r="AI22" s="32">
        <f t="shared" si="1"/>
        <v>0</v>
      </c>
    </row>
    <row r="23" spans="1:35" x14ac:dyDescent="0.25">
      <c r="A23" s="1">
        <v>46012</v>
      </c>
      <c r="AF23">
        <f t="shared" si="0"/>
        <v>0</v>
      </c>
      <c r="AI23" s="32">
        <f t="shared" si="1"/>
        <v>0</v>
      </c>
    </row>
    <row r="24" spans="1:35" x14ac:dyDescent="0.25">
      <c r="A24" s="1">
        <v>46013</v>
      </c>
      <c r="AF24">
        <f t="shared" si="0"/>
        <v>0</v>
      </c>
      <c r="AI24" s="32">
        <f t="shared" si="1"/>
        <v>0</v>
      </c>
    </row>
    <row r="25" spans="1:35" x14ac:dyDescent="0.25">
      <c r="A25" s="1">
        <v>46014</v>
      </c>
      <c r="AF25">
        <f t="shared" si="0"/>
        <v>0</v>
      </c>
      <c r="AI25" s="32">
        <f t="shared" si="1"/>
        <v>0</v>
      </c>
    </row>
    <row r="26" spans="1:35" x14ac:dyDescent="0.25">
      <c r="A26" s="1">
        <v>46015</v>
      </c>
      <c r="AF26">
        <f t="shared" si="0"/>
        <v>0</v>
      </c>
      <c r="AI26" s="32">
        <f t="shared" si="1"/>
        <v>0</v>
      </c>
    </row>
    <row r="27" spans="1:35" x14ac:dyDescent="0.25">
      <c r="A27" s="1">
        <v>46016</v>
      </c>
      <c r="AF27">
        <f t="shared" si="0"/>
        <v>0</v>
      </c>
      <c r="AI27" s="32">
        <f t="shared" si="1"/>
        <v>0</v>
      </c>
    </row>
    <row r="28" spans="1:35" x14ac:dyDescent="0.25">
      <c r="A28" s="1">
        <v>46017</v>
      </c>
      <c r="AF28">
        <f t="shared" si="0"/>
        <v>0</v>
      </c>
      <c r="AI28" s="32">
        <f t="shared" si="1"/>
        <v>0</v>
      </c>
    </row>
    <row r="29" spans="1:35" x14ac:dyDescent="0.25">
      <c r="A29" s="1">
        <v>46018</v>
      </c>
      <c r="AF29">
        <f t="shared" si="0"/>
        <v>0</v>
      </c>
      <c r="AI29" s="32">
        <f t="shared" si="1"/>
        <v>0</v>
      </c>
    </row>
    <row r="30" spans="1:35" x14ac:dyDescent="0.25">
      <c r="A30" s="1">
        <v>46019</v>
      </c>
      <c r="AF30">
        <f t="shared" si="0"/>
        <v>0</v>
      </c>
      <c r="AI30" s="32">
        <f t="shared" si="1"/>
        <v>0</v>
      </c>
    </row>
    <row r="31" spans="1:35" x14ac:dyDescent="0.25">
      <c r="A31" s="1">
        <v>46020</v>
      </c>
      <c r="AF31">
        <f t="shared" si="0"/>
        <v>0</v>
      </c>
      <c r="AI31" s="32">
        <f t="shared" si="1"/>
        <v>0</v>
      </c>
    </row>
    <row r="32" spans="1:35" x14ac:dyDescent="0.25">
      <c r="A32" s="1">
        <v>46021</v>
      </c>
      <c r="AF32">
        <f t="shared" si="0"/>
        <v>0</v>
      </c>
      <c r="AI32" s="32">
        <f t="shared" si="1"/>
        <v>0</v>
      </c>
    </row>
    <row r="33" spans="1:35" x14ac:dyDescent="0.25">
      <c r="A33" s="1">
        <v>46022</v>
      </c>
      <c r="AF33">
        <f t="shared" si="0"/>
        <v>0</v>
      </c>
      <c r="AI33" s="32">
        <f t="shared" si="1"/>
        <v>0</v>
      </c>
    </row>
    <row r="34" spans="1:35" x14ac:dyDescent="0.25">
      <c r="A34" t="s">
        <v>1</v>
      </c>
      <c r="B34" s="32">
        <f t="shared" ref="B34:H34" si="2">SUM(B2:B33)</f>
        <v>0</v>
      </c>
      <c r="C34" s="32">
        <f t="shared" si="2"/>
        <v>0</v>
      </c>
      <c r="D34" s="32">
        <f t="shared" si="2"/>
        <v>0</v>
      </c>
      <c r="E34" s="32">
        <f t="shared" si="2"/>
        <v>0</v>
      </c>
      <c r="F34" s="32">
        <f t="shared" si="2"/>
        <v>0</v>
      </c>
      <c r="G34" s="32">
        <f t="shared" si="2"/>
        <v>43221.25</v>
      </c>
      <c r="H34" s="32">
        <f t="shared" si="2"/>
        <v>7056707.0499999998</v>
      </c>
      <c r="I34" s="32">
        <f>SUM(I2:I33)</f>
        <v>8554455</v>
      </c>
      <c r="J34" s="32">
        <f t="shared" ref="J34:AF34" si="3">SUM(J2:J33)</f>
        <v>11386329.650000002</v>
      </c>
      <c r="K34" s="32">
        <f t="shared" si="3"/>
        <v>8810335.2500000037</v>
      </c>
      <c r="L34" s="32">
        <f t="shared" si="3"/>
        <v>10999701.5</v>
      </c>
      <c r="M34" s="32">
        <f t="shared" si="3"/>
        <v>2270355.6500000004</v>
      </c>
      <c r="N34" s="32">
        <f t="shared" si="3"/>
        <v>0</v>
      </c>
      <c r="O34" s="32">
        <f t="shared" si="3"/>
        <v>0</v>
      </c>
      <c r="P34" s="32">
        <f t="shared" si="3"/>
        <v>0</v>
      </c>
      <c r="Q34" s="32">
        <f t="shared" si="3"/>
        <v>0</v>
      </c>
      <c r="R34" s="32">
        <f t="shared" si="3"/>
        <v>0</v>
      </c>
      <c r="S34" s="32">
        <f t="shared" si="3"/>
        <v>0</v>
      </c>
      <c r="T34" s="32">
        <f t="shared" si="3"/>
        <v>0</v>
      </c>
      <c r="U34" s="32">
        <f t="shared" si="3"/>
        <v>0</v>
      </c>
      <c r="V34" s="32">
        <f t="shared" si="3"/>
        <v>0</v>
      </c>
      <c r="W34" s="32">
        <f t="shared" si="3"/>
        <v>0</v>
      </c>
      <c r="X34" s="32">
        <f t="shared" si="3"/>
        <v>0</v>
      </c>
      <c r="Y34" s="32">
        <f t="shared" si="3"/>
        <v>0</v>
      </c>
      <c r="Z34" s="32">
        <f t="shared" si="3"/>
        <v>0</v>
      </c>
      <c r="AA34" s="32">
        <f t="shared" si="3"/>
        <v>0</v>
      </c>
      <c r="AB34" s="32">
        <f t="shared" si="3"/>
        <v>0</v>
      </c>
      <c r="AC34" s="32">
        <f t="shared" si="3"/>
        <v>0</v>
      </c>
      <c r="AD34" s="32">
        <f t="shared" si="3"/>
        <v>0</v>
      </c>
      <c r="AE34" s="32">
        <f t="shared" si="3"/>
        <v>0</v>
      </c>
      <c r="AF34" s="32">
        <f t="shared" si="3"/>
        <v>49121105.350000009</v>
      </c>
      <c r="AI34" s="32">
        <f t="shared" si="1"/>
        <v>-49121105.350000009</v>
      </c>
    </row>
  </sheetData>
  <pageMargins left="0.7" right="0.7" top="0.75" bottom="0.75" header="0.3" footer="0.3"/>
  <ignoredErrors>
    <ignoredError sqref="I3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E34" sqref="AE34"/>
    </sheetView>
  </sheetViews>
  <sheetFormatPr defaultRowHeight="15" x14ac:dyDescent="0.25"/>
  <cols>
    <col min="30" max="30" width="16.7109375" customWidth="1"/>
    <col min="31" max="31" width="14.5703125" customWidth="1"/>
    <col min="32" max="32" width="17.5703125" customWidth="1"/>
  </cols>
  <sheetData>
    <row r="1" spans="1:32" x14ac:dyDescent="0.25">
      <c r="A1" t="s">
        <v>0</v>
      </c>
      <c r="B1" s="1">
        <v>46023</v>
      </c>
      <c r="C1" s="1">
        <v>46024</v>
      </c>
      <c r="D1" s="1">
        <v>46025</v>
      </c>
      <c r="E1" s="1">
        <v>46027</v>
      </c>
      <c r="F1" s="1">
        <v>46028</v>
      </c>
      <c r="G1" s="1">
        <v>46029</v>
      </c>
      <c r="H1" s="1">
        <v>46030</v>
      </c>
      <c r="I1" s="1">
        <v>46031</v>
      </c>
      <c r="J1" s="1">
        <v>46034</v>
      </c>
      <c r="K1" s="1">
        <v>46035</v>
      </c>
      <c r="L1" s="1">
        <v>46036</v>
      </c>
      <c r="M1" s="1">
        <v>46037</v>
      </c>
      <c r="N1" s="1">
        <v>46038</v>
      </c>
      <c r="O1" s="1">
        <v>46039</v>
      </c>
      <c r="P1" s="1">
        <v>46041</v>
      </c>
      <c r="Q1" s="1">
        <v>46042</v>
      </c>
      <c r="R1" s="1">
        <v>46043</v>
      </c>
      <c r="S1" s="1">
        <v>46044</v>
      </c>
      <c r="T1" s="1">
        <v>46045</v>
      </c>
      <c r="U1" s="1">
        <v>46046</v>
      </c>
      <c r="V1" s="1">
        <v>46047</v>
      </c>
      <c r="W1" s="1">
        <v>46048</v>
      </c>
      <c r="X1" s="1">
        <v>46049</v>
      </c>
      <c r="Y1" s="1">
        <v>46050</v>
      </c>
      <c r="Z1" s="1">
        <v>46051</v>
      </c>
      <c r="AA1" s="1">
        <v>46052</v>
      </c>
      <c r="AB1" s="1">
        <v>46053</v>
      </c>
      <c r="AC1" t="s">
        <v>1</v>
      </c>
      <c r="AD1" s="12" t="s">
        <v>10</v>
      </c>
      <c r="AE1" s="12" t="s">
        <v>3</v>
      </c>
      <c r="AF1" s="12" t="s">
        <v>11</v>
      </c>
    </row>
    <row r="2" spans="1:32" x14ac:dyDescent="0.25">
      <c r="A2" s="1">
        <v>45972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>
        <f>SUM(B2:AB2)</f>
        <v>0</v>
      </c>
      <c r="AD2" s="12">
        <v>23.1</v>
      </c>
      <c r="AE2" s="12"/>
      <c r="AF2" s="12">
        <f>AD2-AC2</f>
        <v>23.1</v>
      </c>
    </row>
    <row r="3" spans="1:32" x14ac:dyDescent="0.25">
      <c r="A3" s="1">
        <v>46017</v>
      </c>
      <c r="B3" s="18">
        <v>24.9</v>
      </c>
      <c r="C3" s="1"/>
      <c r="D3" s="1"/>
      <c r="E3" s="1"/>
      <c r="F3" s="1"/>
      <c r="G3" s="18">
        <v>9.9499999999999993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>
        <f>SUM(B3:AB3)</f>
        <v>34.849999999999994</v>
      </c>
      <c r="AD3" s="12">
        <v>34.85</v>
      </c>
      <c r="AE3" s="12"/>
      <c r="AF3" s="12">
        <f>AD3-AC3</f>
        <v>0</v>
      </c>
    </row>
    <row r="4" spans="1:32" x14ac:dyDescent="0.25">
      <c r="A4" s="1">
        <v>46020</v>
      </c>
      <c r="B4" s="18">
        <v>14.1</v>
      </c>
      <c r="C4" s="1"/>
      <c r="D4" s="1"/>
      <c r="E4" s="1"/>
      <c r="F4" s="1"/>
      <c r="G4" s="1"/>
      <c r="H4" s="1"/>
      <c r="I4" s="1"/>
      <c r="J4" s="1"/>
      <c r="K4" s="18">
        <v>5.7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>
        <f>SUM(B4:AB4)</f>
        <v>19.8</v>
      </c>
      <c r="AD4" s="12">
        <v>19.8</v>
      </c>
      <c r="AE4" s="12"/>
      <c r="AF4" s="12">
        <f>AD4-AC4</f>
        <v>0</v>
      </c>
    </row>
    <row r="5" spans="1:32" x14ac:dyDescent="0.25">
      <c r="A5" s="1">
        <v>46021</v>
      </c>
      <c r="B5" s="24">
        <v>9.5500000000000007</v>
      </c>
      <c r="C5" s="18">
        <v>32</v>
      </c>
      <c r="D5" s="18">
        <v>28.35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33">
        <v>29</v>
      </c>
      <c r="U5" s="1"/>
      <c r="V5" s="1"/>
      <c r="W5" s="1"/>
      <c r="X5" s="1"/>
      <c r="Y5" s="1"/>
      <c r="Z5" s="1"/>
      <c r="AA5" s="1"/>
      <c r="AB5" s="1"/>
      <c r="AC5">
        <f>SUM(B5:AB5)</f>
        <v>98.9</v>
      </c>
      <c r="AD5" s="12">
        <v>98.9</v>
      </c>
      <c r="AE5" s="12"/>
      <c r="AF5" s="12">
        <f>AD5-AC5</f>
        <v>0</v>
      </c>
    </row>
    <row r="6" spans="1:32" x14ac:dyDescent="0.25">
      <c r="A6" s="1">
        <v>46022</v>
      </c>
      <c r="B6" s="18">
        <v>219.35</v>
      </c>
      <c r="C6" s="18">
        <v>19.05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2"/>
      <c r="U6" s="1"/>
      <c r="V6" s="1"/>
      <c r="W6" s="1"/>
      <c r="X6" s="1"/>
      <c r="Y6" s="1"/>
      <c r="Z6" s="1"/>
      <c r="AA6" s="1"/>
      <c r="AB6" s="1"/>
      <c r="AC6">
        <f>SUM(B6:AB6)</f>
        <v>238.4</v>
      </c>
      <c r="AD6" s="20">
        <v>238.4</v>
      </c>
      <c r="AE6" s="12"/>
      <c r="AF6" s="20">
        <f>AD6-AC6</f>
        <v>0</v>
      </c>
    </row>
    <row r="7" spans="1:32" x14ac:dyDescent="0.25">
      <c r="A7" s="1">
        <v>46023</v>
      </c>
      <c r="B7" s="18">
        <v>501.2000000000001</v>
      </c>
      <c r="C7" s="18">
        <v>43.5</v>
      </c>
      <c r="D7" s="18">
        <v>27.85</v>
      </c>
      <c r="E7" s="18">
        <v>17.55</v>
      </c>
      <c r="AC7">
        <f>SUM(B7:AB7)</f>
        <v>590.1</v>
      </c>
      <c r="AE7">
        <v>590.1</v>
      </c>
      <c r="AF7">
        <f>AE7-AC7</f>
        <v>0</v>
      </c>
    </row>
    <row r="8" spans="1:32" x14ac:dyDescent="0.25">
      <c r="A8" s="1">
        <v>46024</v>
      </c>
      <c r="C8" s="18">
        <v>666.34999999999968</v>
      </c>
      <c r="D8" s="18">
        <v>313.64999999999998</v>
      </c>
      <c r="E8" s="18">
        <v>30.45</v>
      </c>
      <c r="G8" s="18">
        <v>13.25</v>
      </c>
      <c r="T8" s="18">
        <v>8.0500000000000007</v>
      </c>
      <c r="AC8">
        <f>SUM(B8:AB8)</f>
        <v>1031.7499999999998</v>
      </c>
      <c r="AE8">
        <v>1031.75</v>
      </c>
      <c r="AF8">
        <f t="shared" ref="AF8:AF33" si="0">AE8-AC8</f>
        <v>0</v>
      </c>
    </row>
    <row r="9" spans="1:32" x14ac:dyDescent="0.25">
      <c r="A9" s="1">
        <v>46025</v>
      </c>
      <c r="D9" s="18">
        <v>168.55</v>
      </c>
      <c r="E9" s="18">
        <v>22.7</v>
      </c>
      <c r="H9" s="18">
        <v>2.2999999999999998</v>
      </c>
      <c r="K9" s="18">
        <v>45</v>
      </c>
      <c r="AC9">
        <f>SUM(B9:AB9)</f>
        <v>238.55</v>
      </c>
      <c r="AE9">
        <v>238.55</v>
      </c>
      <c r="AF9">
        <f t="shared" si="0"/>
        <v>0</v>
      </c>
    </row>
    <row r="10" spans="1:32" x14ac:dyDescent="0.25">
      <c r="A10" s="1">
        <v>46027</v>
      </c>
      <c r="E10" s="18">
        <v>404.84999999999997</v>
      </c>
      <c r="F10" s="18">
        <v>129.45000000000002</v>
      </c>
      <c r="G10" s="18">
        <v>84.1</v>
      </c>
      <c r="I10" s="18">
        <v>28.9</v>
      </c>
      <c r="J10" s="18">
        <v>25.2</v>
      </c>
      <c r="K10" s="18">
        <v>29.85</v>
      </c>
      <c r="AC10">
        <f>SUM(B10:AB10)</f>
        <v>702.35</v>
      </c>
      <c r="AE10">
        <v>702.35</v>
      </c>
      <c r="AF10">
        <f t="shared" si="0"/>
        <v>0</v>
      </c>
    </row>
    <row r="11" spans="1:32" x14ac:dyDescent="0.25">
      <c r="A11" s="1">
        <v>46028</v>
      </c>
      <c r="F11" s="18">
        <v>138.15</v>
      </c>
      <c r="G11" s="18">
        <v>304.24999999999994</v>
      </c>
      <c r="H11" s="18">
        <v>24.3</v>
      </c>
      <c r="I11" s="18">
        <v>23.45</v>
      </c>
      <c r="J11" s="18">
        <v>24.1</v>
      </c>
      <c r="K11" s="18">
        <v>30.45</v>
      </c>
      <c r="AC11">
        <f>SUM(B11:AB11)</f>
        <v>544.70000000000005</v>
      </c>
      <c r="AE11">
        <v>544.70000000000005</v>
      </c>
      <c r="AF11">
        <f t="shared" si="0"/>
        <v>0</v>
      </c>
    </row>
    <row r="12" spans="1:32" x14ac:dyDescent="0.25">
      <c r="A12" s="1">
        <v>46029</v>
      </c>
      <c r="G12" s="18">
        <v>457.95000000000005</v>
      </c>
      <c r="H12" s="18">
        <v>107.85</v>
      </c>
      <c r="I12" s="18">
        <v>70.05</v>
      </c>
      <c r="J12" s="18">
        <v>66.8</v>
      </c>
      <c r="AC12">
        <f>SUM(B12:AB12)</f>
        <v>702.65</v>
      </c>
      <c r="AE12">
        <v>702.65</v>
      </c>
      <c r="AF12">
        <f t="shared" si="0"/>
        <v>0</v>
      </c>
    </row>
    <row r="13" spans="1:32" x14ac:dyDescent="0.25">
      <c r="A13" s="1">
        <v>46030</v>
      </c>
      <c r="H13" s="18">
        <v>108.19999999999997</v>
      </c>
      <c r="I13" s="18">
        <v>347.85</v>
      </c>
      <c r="J13" s="18">
        <v>100.69999999999999</v>
      </c>
      <c r="M13" s="18">
        <v>36.75</v>
      </c>
      <c r="O13" s="18">
        <v>26.1</v>
      </c>
      <c r="T13" s="18">
        <v>25.55</v>
      </c>
      <c r="AC13">
        <f>SUM(B13:AB13)</f>
        <v>645.15</v>
      </c>
      <c r="AE13">
        <v>645.15</v>
      </c>
      <c r="AF13">
        <f t="shared" si="0"/>
        <v>0</v>
      </c>
    </row>
    <row r="14" spans="1:32" x14ac:dyDescent="0.25">
      <c r="A14" s="1">
        <v>46031</v>
      </c>
      <c r="I14" s="18">
        <v>388.44999999999993</v>
      </c>
      <c r="J14" s="18">
        <v>323.64999999999998</v>
      </c>
      <c r="K14" s="18">
        <v>24.45</v>
      </c>
      <c r="M14" s="18">
        <v>18.2</v>
      </c>
      <c r="O14" s="18">
        <v>26.6</v>
      </c>
      <c r="T14" s="18">
        <v>25.55</v>
      </c>
      <c r="AC14">
        <f>SUM(B14:AB14)</f>
        <v>806.9</v>
      </c>
      <c r="AE14">
        <v>806.9</v>
      </c>
      <c r="AF14">
        <f t="shared" si="0"/>
        <v>0</v>
      </c>
    </row>
    <row r="15" spans="1:32" x14ac:dyDescent="0.25">
      <c r="A15" s="1">
        <v>46032</v>
      </c>
      <c r="J15" s="18">
        <v>466.14999999999992</v>
      </c>
      <c r="L15" s="18">
        <v>26.45</v>
      </c>
      <c r="AC15">
        <f>SUM(B15:AB15)</f>
        <v>492.59999999999991</v>
      </c>
      <c r="AE15">
        <v>492.6</v>
      </c>
      <c r="AF15">
        <f t="shared" si="0"/>
        <v>0</v>
      </c>
    </row>
    <row r="16" spans="1:32" x14ac:dyDescent="0.25">
      <c r="A16" s="1">
        <v>46034</v>
      </c>
      <c r="J16" s="18">
        <v>701.05000000000007</v>
      </c>
      <c r="K16" s="18">
        <v>285.05</v>
      </c>
      <c r="L16" s="18">
        <v>92.95</v>
      </c>
      <c r="M16" s="18">
        <v>21.75</v>
      </c>
      <c r="N16" s="18">
        <v>13.8</v>
      </c>
      <c r="O16" s="18">
        <v>27.05</v>
      </c>
      <c r="T16" s="18">
        <v>26.35</v>
      </c>
      <c r="AC16">
        <f>SUM(B16:AB16)</f>
        <v>1168</v>
      </c>
      <c r="AE16">
        <v>1142.05</v>
      </c>
      <c r="AF16">
        <f t="shared" si="0"/>
        <v>-25.950000000000045</v>
      </c>
    </row>
    <row r="17" spans="1:34" x14ac:dyDescent="0.25">
      <c r="A17" s="1">
        <v>46035</v>
      </c>
      <c r="K17" s="18">
        <v>517.9</v>
      </c>
      <c r="L17" s="18">
        <v>268.3</v>
      </c>
      <c r="M17" s="18">
        <v>21.05</v>
      </c>
      <c r="O17" s="18">
        <v>35.700000000000003</v>
      </c>
      <c r="T17" s="18">
        <v>26.3</v>
      </c>
      <c r="AC17">
        <f>SUM(B17:AB17)</f>
        <v>869.25</v>
      </c>
      <c r="AE17">
        <v>895.2</v>
      </c>
      <c r="AF17">
        <f t="shared" si="0"/>
        <v>25.950000000000045</v>
      </c>
    </row>
    <row r="18" spans="1:34" x14ac:dyDescent="0.25">
      <c r="A18" s="1">
        <v>46036</v>
      </c>
      <c r="L18" s="18">
        <v>723.4</v>
      </c>
      <c r="M18" s="18">
        <v>56.4</v>
      </c>
      <c r="N18" s="18">
        <v>15.75</v>
      </c>
      <c r="O18" s="18">
        <v>18.649999999999999</v>
      </c>
      <c r="P18" s="18">
        <v>10.3</v>
      </c>
      <c r="AC18">
        <f>SUM(B18:AB18)</f>
        <v>824.49999999999989</v>
      </c>
      <c r="AE18">
        <v>824.5</v>
      </c>
      <c r="AF18">
        <f t="shared" si="0"/>
        <v>0</v>
      </c>
    </row>
    <row r="19" spans="1:34" x14ac:dyDescent="0.25">
      <c r="A19" s="1">
        <v>46038</v>
      </c>
      <c r="N19" s="18">
        <v>567.65000000000009</v>
      </c>
      <c r="O19" s="18">
        <v>186.60000000000002</v>
      </c>
      <c r="P19" s="18">
        <v>92.550000000000011</v>
      </c>
      <c r="Q19" s="18">
        <v>25.35</v>
      </c>
      <c r="R19" s="18">
        <v>25.6</v>
      </c>
      <c r="S19" s="18">
        <v>26.5</v>
      </c>
      <c r="T19" s="18">
        <v>25.95</v>
      </c>
      <c r="AC19">
        <f>SUM(B19:AB19)</f>
        <v>950.20000000000027</v>
      </c>
      <c r="AE19">
        <v>989.6</v>
      </c>
      <c r="AF19" s="11">
        <f t="shared" si="0"/>
        <v>39.39999999999975</v>
      </c>
    </row>
    <row r="20" spans="1:34" x14ac:dyDescent="0.25">
      <c r="A20" s="1">
        <v>46039</v>
      </c>
      <c r="O20" s="18">
        <v>415.50000000000006</v>
      </c>
      <c r="P20" s="18">
        <v>58.15</v>
      </c>
      <c r="R20" s="18">
        <v>44.8</v>
      </c>
      <c r="AC20">
        <f>SUM(B20:AB20)</f>
        <v>518.45000000000005</v>
      </c>
      <c r="AE20">
        <v>537.04999999999995</v>
      </c>
      <c r="AF20" s="11">
        <f t="shared" si="0"/>
        <v>18.599999999999909</v>
      </c>
    </row>
    <row r="21" spans="1:34" x14ac:dyDescent="0.25">
      <c r="A21" s="1">
        <v>46041</v>
      </c>
      <c r="P21" s="18">
        <v>676.89999999999986</v>
      </c>
      <c r="Q21" s="18">
        <v>102.75</v>
      </c>
      <c r="R21" s="18">
        <v>72.050000000000011</v>
      </c>
      <c r="S21" s="18">
        <v>26.1</v>
      </c>
      <c r="T21" s="18">
        <v>62.550000000000004</v>
      </c>
      <c r="AC21">
        <f>SUM(B21:AB21)</f>
        <v>940.3499999999998</v>
      </c>
      <c r="AE21">
        <v>967.85</v>
      </c>
      <c r="AF21" s="11">
        <f t="shared" si="0"/>
        <v>27.500000000000227</v>
      </c>
    </row>
    <row r="22" spans="1:34" x14ac:dyDescent="0.25">
      <c r="A22" s="1">
        <v>46042</v>
      </c>
      <c r="Q22" s="18">
        <v>1123.4999999999998</v>
      </c>
      <c r="R22" s="18">
        <v>279.40000000000003</v>
      </c>
      <c r="S22" s="18">
        <v>132.25</v>
      </c>
      <c r="T22" s="18">
        <v>49.400000000000006</v>
      </c>
      <c r="U22" s="18">
        <v>38.25</v>
      </c>
      <c r="AC22">
        <f>SUM(B22:AB22)</f>
        <v>1622.8</v>
      </c>
      <c r="AE22">
        <v>1669.05</v>
      </c>
      <c r="AF22" s="11">
        <f t="shared" si="0"/>
        <v>46.25</v>
      </c>
    </row>
    <row r="23" spans="1:34" x14ac:dyDescent="0.25">
      <c r="A23" s="1">
        <v>46043</v>
      </c>
      <c r="R23" s="18">
        <v>860.00000000000023</v>
      </c>
      <c r="S23" s="18">
        <v>260.65000000000003</v>
      </c>
      <c r="T23" s="18">
        <v>127.45</v>
      </c>
      <c r="U23" s="18">
        <v>45.199999999999996</v>
      </c>
      <c r="AC23">
        <f>SUM(B23:AB23)</f>
        <v>1293.3000000000004</v>
      </c>
      <c r="AE23">
        <v>1452.55</v>
      </c>
      <c r="AF23" s="11">
        <f t="shared" si="0"/>
        <v>159.24999999999955</v>
      </c>
    </row>
    <row r="24" spans="1:34" x14ac:dyDescent="0.25">
      <c r="A24" s="1">
        <v>46044</v>
      </c>
      <c r="S24" s="24">
        <v>825.54999999999984</v>
      </c>
      <c r="T24" s="42">
        <v>394.04999999999995</v>
      </c>
      <c r="U24" s="24">
        <v>285.40000000000003</v>
      </c>
      <c r="AC24">
        <f>SUM(B24:AB24)</f>
        <v>1505</v>
      </c>
      <c r="AE24">
        <v>1665.6</v>
      </c>
      <c r="AF24" s="34">
        <f t="shared" si="0"/>
        <v>160.59999999999991</v>
      </c>
      <c r="AG24">
        <v>160.6</v>
      </c>
      <c r="AH24" s="41"/>
    </row>
    <row r="25" spans="1:34" x14ac:dyDescent="0.25">
      <c r="A25" s="1">
        <v>46045</v>
      </c>
      <c r="T25" s="18">
        <v>467.59999999999997</v>
      </c>
      <c r="U25" s="18">
        <v>571.15000000000009</v>
      </c>
      <c r="AC25">
        <f>SUM(B25:AB25)</f>
        <v>1038.75</v>
      </c>
      <c r="AE25">
        <v>1290.75</v>
      </c>
      <c r="AF25" s="34">
        <f t="shared" si="0"/>
        <v>252</v>
      </c>
      <c r="AG25">
        <v>252</v>
      </c>
      <c r="AH25" s="41"/>
    </row>
    <row r="26" spans="1:34" x14ac:dyDescent="0.25">
      <c r="A26" s="1">
        <v>46046</v>
      </c>
      <c r="U26" s="18">
        <v>659.99999999999989</v>
      </c>
      <c r="AC26">
        <f>SUM(B26:AB26)</f>
        <v>659.99999999999989</v>
      </c>
      <c r="AE26">
        <v>1008.9</v>
      </c>
      <c r="AF26" s="11">
        <f t="shared" si="0"/>
        <v>348.90000000000009</v>
      </c>
    </row>
    <row r="27" spans="1:34" x14ac:dyDescent="0.25">
      <c r="A27" s="1">
        <v>46047</v>
      </c>
      <c r="AC27">
        <f>SUM(B27:AB27)</f>
        <v>0</v>
      </c>
      <c r="AF27">
        <f t="shared" si="0"/>
        <v>0</v>
      </c>
    </row>
    <row r="28" spans="1:34" x14ac:dyDescent="0.25">
      <c r="A28" s="1">
        <v>46048</v>
      </c>
      <c r="AC28">
        <f>SUM(B28:AB28)</f>
        <v>0</v>
      </c>
      <c r="AF28">
        <f t="shared" si="0"/>
        <v>0</v>
      </c>
    </row>
    <row r="29" spans="1:34" x14ac:dyDescent="0.25">
      <c r="A29" s="1">
        <v>46049</v>
      </c>
      <c r="AC29">
        <f>SUM(B29:AB29)</f>
        <v>0</v>
      </c>
      <c r="AF29">
        <f t="shared" si="0"/>
        <v>0</v>
      </c>
    </row>
    <row r="30" spans="1:34" x14ac:dyDescent="0.25">
      <c r="A30" s="1">
        <v>46050</v>
      </c>
      <c r="AC30">
        <f>SUM(B30:AB30)</f>
        <v>0</v>
      </c>
      <c r="AF30">
        <f t="shared" si="0"/>
        <v>0</v>
      </c>
    </row>
    <row r="31" spans="1:34" x14ac:dyDescent="0.25">
      <c r="A31" s="1">
        <v>46051</v>
      </c>
      <c r="AC31">
        <f>SUM(B31:AB31)</f>
        <v>0</v>
      </c>
      <c r="AF31">
        <f t="shared" si="0"/>
        <v>0</v>
      </c>
    </row>
    <row r="32" spans="1:34" x14ac:dyDescent="0.25">
      <c r="A32" s="1">
        <v>46052</v>
      </c>
      <c r="AC32">
        <f>SUM(B32:AB32)</f>
        <v>0</v>
      </c>
      <c r="AF32">
        <f t="shared" si="0"/>
        <v>0</v>
      </c>
    </row>
    <row r="33" spans="1:34" x14ac:dyDescent="0.25">
      <c r="A33" s="1">
        <v>46053</v>
      </c>
      <c r="AC33">
        <f>SUM(B33:AB33)</f>
        <v>0</v>
      </c>
      <c r="AF33">
        <f t="shared" si="0"/>
        <v>0</v>
      </c>
    </row>
    <row r="34" spans="1:34" x14ac:dyDescent="0.25">
      <c r="A34" t="s">
        <v>1</v>
      </c>
      <c r="B34" s="32">
        <f>SUM(B2:B33)</f>
        <v>769.10000000000014</v>
      </c>
      <c r="C34" s="32">
        <f t="shared" ref="C34:AB34" si="1">SUM(C2:C33)</f>
        <v>760.89999999999964</v>
      </c>
      <c r="D34" s="32">
        <f t="shared" si="1"/>
        <v>538.4</v>
      </c>
      <c r="E34" s="32">
        <f t="shared" si="1"/>
        <v>475.54999999999995</v>
      </c>
      <c r="F34" s="32">
        <f t="shared" si="1"/>
        <v>267.60000000000002</v>
      </c>
      <c r="G34" s="32">
        <f t="shared" si="1"/>
        <v>869.5</v>
      </c>
      <c r="H34" s="32">
        <f t="shared" si="1"/>
        <v>242.64999999999998</v>
      </c>
      <c r="I34" s="32">
        <f t="shared" si="1"/>
        <v>858.69999999999993</v>
      </c>
      <c r="J34" s="32">
        <f t="shared" si="1"/>
        <v>1707.65</v>
      </c>
      <c r="K34" s="32">
        <f t="shared" si="1"/>
        <v>938.4</v>
      </c>
      <c r="L34" s="32">
        <f t="shared" si="1"/>
        <v>1111.0999999999999</v>
      </c>
      <c r="M34" s="32">
        <f t="shared" si="1"/>
        <v>154.15</v>
      </c>
      <c r="N34" s="32">
        <f t="shared" si="1"/>
        <v>597.20000000000005</v>
      </c>
      <c r="O34" s="32">
        <f t="shared" si="1"/>
        <v>736.2</v>
      </c>
      <c r="P34" s="32">
        <f t="shared" si="1"/>
        <v>837.89999999999986</v>
      </c>
      <c r="Q34" s="32">
        <f t="shared" si="1"/>
        <v>1251.5999999999997</v>
      </c>
      <c r="R34" s="32">
        <f t="shared" si="1"/>
        <v>1281.8500000000004</v>
      </c>
      <c r="S34" s="32">
        <f t="shared" si="1"/>
        <v>1271.0499999999997</v>
      </c>
      <c r="T34" s="32">
        <f t="shared" si="1"/>
        <v>1267.8</v>
      </c>
      <c r="U34" s="32">
        <f t="shared" si="1"/>
        <v>1600</v>
      </c>
      <c r="V34" s="32">
        <f t="shared" si="1"/>
        <v>0</v>
      </c>
      <c r="W34" s="32">
        <f t="shared" si="1"/>
        <v>0</v>
      </c>
      <c r="X34" s="32">
        <f t="shared" si="1"/>
        <v>0</v>
      </c>
      <c r="Y34" s="32">
        <f t="shared" si="1"/>
        <v>0</v>
      </c>
      <c r="Z34" s="32">
        <f t="shared" si="1"/>
        <v>0</v>
      </c>
      <c r="AA34" s="32">
        <f t="shared" si="1"/>
        <v>0</v>
      </c>
      <c r="AB34" s="32">
        <f t="shared" si="1"/>
        <v>0</v>
      </c>
      <c r="AC34">
        <f>SUM(B34:AB34)</f>
        <v>17537.3</v>
      </c>
      <c r="AE34">
        <f>SUM(AE2:AE33)</f>
        <v>18197.849999999999</v>
      </c>
      <c r="AF34">
        <f>SUM(AF2:AF33)</f>
        <v>1075.5999999999995</v>
      </c>
      <c r="AH34">
        <f>AF34-1102.55</f>
        <v>-26.9500000000005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Onion April</vt:lpstr>
      <vt:lpstr>Onion May</vt:lpstr>
      <vt:lpstr>Onion June</vt:lpstr>
      <vt:lpstr>Onion July </vt:lpstr>
      <vt:lpstr>Corn Oct</vt:lpstr>
      <vt:lpstr>Sheet1</vt:lpstr>
      <vt:lpstr>Corn Oct Amt</vt:lpstr>
      <vt:lpstr>Corn Nov</vt:lpstr>
      <vt:lpstr>Corn Dec Amt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2026-02-05T11:38:43Z</dcterms:modified>
</cp:coreProperties>
</file>